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abla" sheetId="1" state="visible" r:id="rId1"/>
    <sheet name="ANALISI" sheetId="2" state="visible" r:id="rId2"/>
    <sheet name="Hoja 2" sheetId="3" state="visible" r:id="rId3"/>
    <sheet name="Hoja 1" sheetId="4" state="visible" r:id="rId4"/>
    <sheet name="Hoja2" sheetId="5" state="visible" r:id="rId5"/>
  </sheets>
  <definedNames>
    <definedName name="_xlnm._FilterDatabase" localSheetId="0" hidden="1">'Tabla'!$A$2:$BG$41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%"/>
    <numFmt numFmtId="165" formatCode="&quot;$&quot;\ #,##0.00;[Red]\-&quot;$&quot;\ #,##0.00"/>
    <numFmt numFmtId="166" formatCode="_-&quot;$&quot;\ * #,##0.00_-;\-&quot;$&quot;\ * #,##0.00_-;_-&quot;$&quot;\ * &quot;-&quot;??_-;_-@"/>
    <numFmt numFmtId="167" formatCode="&quot;$&quot;#,##0.00"/>
  </numFmts>
  <fonts count="8">
    <font>
      <name val="Aptos Narrow"/>
      <color theme="1"/>
      <sz val="11"/>
      <scheme val="minor"/>
    </font>
    <font>
      <name val="Aptos Narrow"/>
      <color theme="1"/>
      <sz val="11"/>
    </font>
    <font>
      <name val="Aptos Narrow"/>
      <b val="1"/>
      <color theme="1"/>
      <sz val="11"/>
    </font>
    <font/>
    <font>
      <name val="Arial"/>
      <b val="1"/>
      <color theme="1"/>
      <sz val="11"/>
    </font>
    <font>
      <name val="Arial"/>
      <color theme="1"/>
      <sz val="11"/>
    </font>
    <font>
      <name val="Aptos Narrow"/>
      <color theme="1"/>
      <scheme val="minor"/>
    </font>
    <font>
      <name val="Arial"/>
      <color theme="1"/>
    </font>
  </fonts>
  <fills count="8">
    <fill>
      <patternFill/>
    </fill>
    <fill>
      <patternFill patternType="lightGray"/>
    </fill>
    <fill>
      <patternFill patternType="solid">
        <fgColor rgb="FF4D94D8"/>
        <bgColor rgb="FF4D94D8"/>
      </patternFill>
    </fill>
    <fill>
      <patternFill patternType="solid">
        <fgColor rgb="FFA6C9EB"/>
        <bgColor rgb="FFA6C9EB"/>
      </patternFill>
    </fill>
    <fill>
      <patternFill patternType="solid">
        <fgColor rgb="FF215E99"/>
        <bgColor rgb="FF215E99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32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/>
      <right/>
      <top/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7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0" borderId="2" pivotButton="0" quotePrefix="0" xfId="0"/>
    <xf numFmtId="0" fontId="3" fillId="0" borderId="3" pivotButton="0" quotePrefix="0" xfId="0"/>
    <xf numFmtId="0" fontId="2" fillId="2" borderId="4" applyAlignment="1" pivotButton="0" quotePrefix="0" xfId="0">
      <alignment horizontal="center"/>
    </xf>
    <xf numFmtId="0" fontId="3" fillId="0" borderId="5" pivotButton="0" quotePrefix="0" xfId="0"/>
    <xf numFmtId="0" fontId="3" fillId="0" borderId="6" pivotButton="0" quotePrefix="0" xfId="0"/>
    <xf numFmtId="0" fontId="2" fillId="3" borderId="7" applyAlignment="1" pivotButton="0" quotePrefix="0" xfId="0">
      <alignment horizontal="center" vertical="center"/>
    </xf>
    <xf numFmtId="0" fontId="2" fillId="3" borderId="7" applyAlignment="1" pivotButton="0" quotePrefix="0" xfId="0">
      <alignment horizontal="center" vertical="center" wrapText="1"/>
    </xf>
    <xf numFmtId="0" fontId="4" fillId="3" borderId="7" applyAlignment="1" pivotButton="0" quotePrefix="0" xfId="0">
      <alignment horizontal="center" vertical="center"/>
    </xf>
    <xf numFmtId="0" fontId="2" fillId="3" borderId="8" applyAlignment="1" pivotButton="0" quotePrefix="0" xfId="0">
      <alignment horizontal="center" vertical="center" wrapText="1"/>
    </xf>
    <xf numFmtId="0" fontId="2" fillId="3" borderId="9" applyAlignment="1" pivotButton="0" quotePrefix="0" xfId="0">
      <alignment horizontal="center" vertical="center" wrapText="1"/>
    </xf>
    <xf numFmtId="0" fontId="2" fillId="4" borderId="10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/>
    </xf>
    <xf numFmtId="0" fontId="1" fillId="0" borderId="7" pivotButton="0" quotePrefix="0" xfId="0"/>
    <xf numFmtId="0" fontId="5" fillId="0" borderId="7" pivotButton="0" quotePrefix="0" xfId="0"/>
    <xf numFmtId="0" fontId="1" fillId="5" borderId="7" pivotButton="0" quotePrefix="0" xfId="0"/>
    <xf numFmtId="0" fontId="1" fillId="0" borderId="8" pivotButton="0" quotePrefix="0" xfId="0"/>
    <xf numFmtId="164" fontId="1" fillId="0" borderId="7" applyAlignment="1" pivotButton="0" quotePrefix="0" xfId="0">
      <alignment horizontal="center"/>
    </xf>
    <xf numFmtId="165" fontId="1" fillId="0" borderId="8" pivotButton="0" quotePrefix="0" xfId="0"/>
    <xf numFmtId="166" fontId="1" fillId="0" borderId="9" applyAlignment="1" pivotButton="0" quotePrefix="0" xfId="0">
      <alignment horizontal="center"/>
    </xf>
    <xf numFmtId="166" fontId="1" fillId="0" borderId="8" pivotButton="0" quotePrefix="0" xfId="0"/>
    <xf numFmtId="3" fontId="1" fillId="0" borderId="13" applyAlignment="1" pivotButton="0" quotePrefix="0" xfId="0">
      <alignment horizontal="center"/>
    </xf>
    <xf numFmtId="166" fontId="1" fillId="0" borderId="0" pivotButton="0" quotePrefix="0" xfId="0"/>
    <xf numFmtId="166" fontId="1" fillId="0" borderId="14" pivotButton="0" quotePrefix="0" xfId="0"/>
    <xf numFmtId="0" fontId="1" fillId="6" borderId="7" pivotButton="0" quotePrefix="0" xfId="0"/>
    <xf numFmtId="0" fontId="1" fillId="7" borderId="7" pivotButton="0" quotePrefix="0" xfId="0"/>
    <xf numFmtId="0" fontId="2" fillId="3" borderId="15" applyAlignment="1" pivotButton="0" quotePrefix="0" xfId="0">
      <alignment horizontal="left"/>
    </xf>
    <xf numFmtId="0" fontId="3" fillId="0" borderId="13" pivotButton="0" quotePrefix="0" xfId="0"/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" fillId="0" borderId="13" pivotButton="0" quotePrefix="0" xfId="0"/>
    <xf numFmtId="10" fontId="2" fillId="0" borderId="7" applyAlignment="1" pivotButton="0" quotePrefix="0" xfId="0">
      <alignment horizontal="center"/>
    </xf>
    <xf numFmtId="10" fontId="2" fillId="0" borderId="9" applyAlignment="1" pivotButton="0" quotePrefix="0" xfId="0">
      <alignment horizontal="center"/>
    </xf>
    <xf numFmtId="0" fontId="1" fillId="0" borderId="14" pivotButton="0" quotePrefix="0" xfId="0"/>
    <xf numFmtId="0" fontId="3" fillId="0" borderId="16" pivotButton="0" quotePrefix="0" xfId="0"/>
    <xf numFmtId="0" fontId="2" fillId="2" borderId="15" applyAlignment="1" pivotButton="0" quotePrefix="0" xfId="0">
      <alignment horizontal="left"/>
    </xf>
    <xf numFmtId="0" fontId="1" fillId="0" borderId="17" pivotButton="0" quotePrefix="0" xfId="0"/>
    <xf numFmtId="3" fontId="2" fillId="0" borderId="18" applyAlignment="1" pivotButton="0" quotePrefix="0" xfId="0">
      <alignment horizontal="center"/>
    </xf>
    <xf numFmtId="3" fontId="2" fillId="0" borderId="19" applyAlignment="1" pivotButton="0" quotePrefix="0" xfId="0">
      <alignment horizontal="center"/>
    </xf>
    <xf numFmtId="3" fontId="1" fillId="0" borderId="20" applyAlignment="1" pivotButton="0" quotePrefix="0" xfId="0">
      <alignment horizontal="center"/>
    </xf>
    <xf numFmtId="0" fontId="1" fillId="0" borderId="21" pivotButton="0" quotePrefix="0" xfId="0"/>
    <xf numFmtId="0" fontId="1" fillId="0" borderId="22" pivotButton="0" quotePrefix="0" xfId="0"/>
    <xf numFmtId="167" fontId="6" fillId="0" borderId="0" pivotButton="0" quotePrefix="0" xfId="0"/>
    <xf numFmtId="2" fontId="1" fillId="0" borderId="0" pivotButton="0" quotePrefix="0" xfId="0"/>
    <xf numFmtId="0" fontId="6" fillId="0" borderId="0" pivotButton="0" quotePrefix="0" xfId="0"/>
    <xf numFmtId="0" fontId="6" fillId="0" borderId="23" pivotButton="0" quotePrefix="0" xfId="0"/>
    <xf numFmtId="0" fontId="6" fillId="0" borderId="0" pivotButton="0" quotePrefix="0" xfId="0"/>
    <xf numFmtId="166" fontId="6" fillId="0" borderId="0" pivotButton="0" quotePrefix="0" xfId="0"/>
    <xf numFmtId="166" fontId="6" fillId="0" borderId="24" pivotButton="0" quotePrefix="0" xfId="0"/>
    <xf numFmtId="0" fontId="6" fillId="0" borderId="24" pivotButton="0" quotePrefix="0" xfId="0"/>
    <xf numFmtId="167" fontId="6" fillId="0" borderId="25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right"/>
    </xf>
    <xf numFmtId="0" fontId="5" fillId="0" borderId="0" applyAlignment="1" pivotButton="0" quotePrefix="0" xfId="0">
      <alignment vertical="bottom"/>
    </xf>
    <xf numFmtId="0" fontId="5" fillId="0" borderId="0" applyAlignment="1" pivotButton="0" quotePrefix="0" xfId="0">
      <alignment horizontal="right" vertical="bottom"/>
    </xf>
    <xf numFmtId="0" fontId="5" fillId="0" borderId="0" applyAlignment="1" pivotButton="0" quotePrefix="0" xfId="0">
      <alignment vertical="bottom"/>
    </xf>
    <xf numFmtId="0" fontId="5" fillId="0" borderId="0" applyAlignment="1" pivotButton="0" quotePrefix="0" xfId="0">
      <alignment horizontal="right" vertical="bottom"/>
    </xf>
    <xf numFmtId="0" fontId="0" fillId="0" borderId="0" pivotButton="0" quotePrefix="0" xfId="0"/>
    <xf numFmtId="0" fontId="2" fillId="2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2" fillId="2" borderId="29" applyAlignment="1" pivotButton="0" quotePrefix="0" xfId="0">
      <alignment horizontal="center"/>
    </xf>
    <xf numFmtId="0" fontId="2" fillId="3" borderId="7" applyAlignment="1" pivotButton="0" quotePrefix="0" xfId="0">
      <alignment horizontal="left"/>
    </xf>
    <xf numFmtId="0" fontId="0" fillId="0" borderId="13" pivotButton="0" quotePrefix="0" xfId="0"/>
    <xf numFmtId="0" fontId="0" fillId="0" borderId="16" pivotButton="0" quotePrefix="0" xfId="0"/>
    <xf numFmtId="0" fontId="2" fillId="2" borderId="7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None</author>
  </authors>
  <commentList>
    <comment ref="D2" authorId="0" shapeId="0">
      <text>
        <t>======
ID#AAABsJIICLE
lisandro.raffioni    (2025-10-08 15:42:48)
Es World Salud el Prime Contractor?</t>
      </text>
    </comment>
    <comment ref="AN14" authorId="0" shapeId="0">
      <text>
        <t>======
ID#AAABsJIICK4
tc={FDE7B884-1BB5-4B0C-9B8E-08A271B3D7B2}    (2025-10-08 15:42:48)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termino un programa que se había contratado por un tiempo</t>
      </text>
    </comment>
    <comment ref="C16" authorId="0" shapeId="0">
      <text>
        <t>======
ID#AAABsJIICK8
tc={719E1946-09F5-4174-B201-85CA821175B6}    (2025-10-08 15:42:48)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AÚN NO SE FACTURA NADA</t>
      </text>
    </comment>
    <comment ref="AN38" authorId="0" shapeId="0">
      <text>
        <t>======
ID#AAABsJIICLA
tc={96CC1800-BACD-44C4-AB34-85F472457E05}    (2025-10-08 15:42:48)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Faltan 4.7 millones por superar OC, en la próxima OC y mes se netea la diferencia.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998"/>
  <sheetViews>
    <sheetView workbookViewId="0">
      <selection activeCell="A1" sqref="A1"/>
    </sheetView>
  </sheetViews>
  <sheetFormatPr baseColWidth="8" defaultColWidth="12.63" defaultRowHeight="15" customHeight="1"/>
  <cols>
    <col width="10.88" customWidth="1" style="62" min="1" max="1"/>
    <col width="39.25" customWidth="1" style="62" min="2" max="2"/>
    <col width="21.75" customWidth="1" style="62" min="3" max="3"/>
    <col width="20.5" customWidth="1" style="62" min="4" max="5"/>
    <col width="27" customWidth="1" style="62" min="6" max="7"/>
    <col width="42.5" customWidth="1" style="62" min="8" max="8"/>
    <col width="16.25" customWidth="1" style="62" min="9" max="9"/>
    <col width="15.63" customWidth="1" style="62" min="10" max="10"/>
    <col width="12" customWidth="1" style="62" min="11" max="11"/>
    <col width="41.75" customWidth="1" style="62" min="12" max="12"/>
    <col width="18.13" customWidth="1" style="62" min="13" max="13"/>
    <col width="17.38" customWidth="1" style="62" min="14" max="14"/>
    <col width="16.75" customWidth="1" style="62" min="15" max="15"/>
    <col width="18.63" customWidth="1" style="62" min="16" max="16"/>
    <col width="21.5" customWidth="1" style="62" min="17" max="17"/>
    <col width="12" customWidth="1" style="62" min="18" max="18"/>
    <col width="16.75" customWidth="1" style="62" min="19" max="19"/>
    <col width="18.13" customWidth="1" style="62" min="20" max="21"/>
    <col width="12" customWidth="1" style="62" min="22" max="23"/>
    <col width="18.13" customWidth="1" style="62" min="24" max="25"/>
    <col width="12" customWidth="1" style="62" min="26" max="27"/>
    <col width="18.13" customWidth="1" style="62" min="28" max="29"/>
    <col width="12.13" customWidth="1" style="62" min="30" max="31"/>
    <col width="18.13" customWidth="1" style="62" min="32" max="33"/>
    <col width="11.75" customWidth="1" style="62" min="34" max="35"/>
    <col width="18.13" customWidth="1" style="62" min="36" max="37"/>
    <col width="15.38" customWidth="1" style="62" min="38" max="38"/>
    <col width="13.5" customWidth="1" style="62" min="39" max="39"/>
    <col width="18.13" customWidth="1" style="62" min="40" max="40"/>
    <col width="13.5" customWidth="1" style="62" min="41" max="41"/>
    <col width="17.38" customWidth="1" style="62" min="42" max="42"/>
    <col width="15.5" customWidth="1" style="62" min="43" max="45"/>
    <col width="12.88" customWidth="1" style="62" min="46" max="49"/>
    <col width="14.25" customWidth="1" style="62" min="50" max="53"/>
    <col width="14.5" customWidth="1" style="62" min="54" max="57"/>
    <col width="12.63" customWidth="1" style="62" min="58" max="58"/>
    <col width="10.63" customWidth="1" style="62" min="59" max="59"/>
    <col width="17.13" customWidth="1" style="62" min="60" max="60"/>
    <col width="13.25" customWidth="1" style="62" min="61" max="61"/>
  </cols>
  <sheetData>
    <row r="1" ht="14.25" customHeight="1" s="62">
      <c r="A1" s="1" t="n"/>
      <c r="J1" s="63" t="inlineStr">
        <is>
          <t>ENERO</t>
        </is>
      </c>
      <c r="K1" s="64" t="n"/>
      <c r="L1" s="64" t="n"/>
      <c r="M1" s="65" t="n"/>
      <c r="N1" s="63" t="inlineStr">
        <is>
          <t>FEBRERO</t>
        </is>
      </c>
      <c r="O1" s="64" t="n"/>
      <c r="P1" s="64" t="n"/>
      <c r="Q1" s="65" t="n"/>
      <c r="R1" s="63" t="inlineStr">
        <is>
          <t>MARZO</t>
        </is>
      </c>
      <c r="S1" s="64" t="n"/>
      <c r="T1" s="64" t="n"/>
      <c r="U1" s="65" t="n"/>
      <c r="V1" s="63" t="inlineStr">
        <is>
          <t>ABRIL</t>
        </is>
      </c>
      <c r="W1" s="64" t="n"/>
      <c r="X1" s="64" t="n"/>
      <c r="Y1" s="65" t="n"/>
      <c r="Z1" s="63" t="inlineStr">
        <is>
          <t>MAYO</t>
        </is>
      </c>
      <c r="AA1" s="64" t="n"/>
      <c r="AB1" s="64" t="n"/>
      <c r="AC1" s="65" t="n"/>
      <c r="AD1" s="63" t="inlineStr">
        <is>
          <t>JUNIO</t>
        </is>
      </c>
      <c r="AE1" s="64" t="n"/>
      <c r="AF1" s="64" t="n"/>
      <c r="AG1" s="65" t="n"/>
      <c r="AH1" s="63" t="inlineStr">
        <is>
          <t>JULIO</t>
        </is>
      </c>
      <c r="AI1" s="64" t="n"/>
      <c r="AJ1" s="64" t="n"/>
      <c r="AK1" s="65" t="n"/>
      <c r="AL1" s="63" t="inlineStr">
        <is>
          <t>AGOSTO</t>
        </is>
      </c>
      <c r="AM1" s="64" t="n"/>
      <c r="AN1" s="64" t="n"/>
      <c r="AO1" s="65" t="n"/>
      <c r="AP1" s="63" t="inlineStr">
        <is>
          <t>SEPTIEMBRE</t>
        </is>
      </c>
      <c r="AQ1" s="64" t="n"/>
      <c r="AR1" s="64" t="n"/>
      <c r="AS1" s="65" t="n"/>
      <c r="AT1" s="63" t="inlineStr">
        <is>
          <t>OCTUBRE</t>
        </is>
      </c>
      <c r="AU1" s="64" t="n"/>
      <c r="AV1" s="64" t="n"/>
      <c r="AW1" s="65" t="n"/>
      <c r="AX1" s="63" t="inlineStr">
        <is>
          <t>NOVIEMBRE</t>
        </is>
      </c>
      <c r="AY1" s="64" t="n"/>
      <c r="AZ1" s="64" t="n"/>
      <c r="BA1" s="65" t="n"/>
      <c r="BB1" s="63" t="inlineStr">
        <is>
          <t>DICIEMBRE</t>
        </is>
      </c>
      <c r="BC1" s="64" t="n"/>
      <c r="BD1" s="64" t="n"/>
      <c r="BE1" s="65" t="n"/>
      <c r="BF1" s="66" t="inlineStr">
        <is>
          <t>ANUAL</t>
        </is>
      </c>
    </row>
    <row r="2" ht="38.25" customHeight="1" s="62">
      <c r="A2" s="8" t="inlineStr">
        <is>
          <t>Código</t>
        </is>
      </c>
      <c r="B2" s="8" t="inlineStr">
        <is>
          <t>Programa</t>
        </is>
      </c>
      <c r="C2" s="8" t="inlineStr">
        <is>
          <t>Laboratorio</t>
        </is>
      </c>
      <c r="D2" s="9" t="inlineStr">
        <is>
          <t>Labortorio Propio</t>
        </is>
      </c>
      <c r="E2" s="9" t="inlineStr">
        <is>
          <t>Avanter Proveedor</t>
        </is>
      </c>
      <c r="F2" s="8" t="inlineStr">
        <is>
          <t>FC POR AVANTER</t>
        </is>
      </c>
      <c r="G2" s="10" t="inlineStr">
        <is>
          <t xml:space="preserve">Precio </t>
        </is>
      </c>
      <c r="H2" s="10" t="inlineStr">
        <is>
          <t>Actualización</t>
        </is>
      </c>
      <c r="I2" s="8" t="inlineStr">
        <is>
          <t>Status</t>
        </is>
      </c>
      <c r="J2" s="11" t="inlineStr">
        <is>
          <t xml:space="preserve">TRX </t>
        </is>
      </c>
      <c r="K2" s="9" t="inlineStr">
        <is>
          <t>% TRX MES</t>
        </is>
      </c>
      <c r="L2" s="9" t="inlineStr">
        <is>
          <t xml:space="preserve">MONTO FC </t>
        </is>
      </c>
      <c r="M2" s="12" t="inlineStr">
        <is>
          <t>MONTO X TRX</t>
        </is>
      </c>
      <c r="N2" s="11" t="inlineStr">
        <is>
          <t xml:space="preserve">TRX </t>
        </is>
      </c>
      <c r="O2" s="9" t="inlineStr">
        <is>
          <t>% TRX MES</t>
        </is>
      </c>
      <c r="P2" s="9" t="inlineStr">
        <is>
          <t xml:space="preserve">MONTO FC </t>
        </is>
      </c>
      <c r="Q2" s="12" t="inlineStr">
        <is>
          <t>MONTO X TRX</t>
        </is>
      </c>
      <c r="R2" s="11" t="inlineStr">
        <is>
          <t xml:space="preserve">TRX </t>
        </is>
      </c>
      <c r="S2" s="9" t="inlineStr">
        <is>
          <t>% TRX MES</t>
        </is>
      </c>
      <c r="T2" s="9" t="inlineStr">
        <is>
          <t xml:space="preserve">MONTO FC </t>
        </is>
      </c>
      <c r="U2" s="12" t="inlineStr">
        <is>
          <t>MONTO X TRX</t>
        </is>
      </c>
      <c r="V2" s="11" t="inlineStr">
        <is>
          <t xml:space="preserve">TRX </t>
        </is>
      </c>
      <c r="W2" s="9" t="inlineStr">
        <is>
          <t>% TRX MES</t>
        </is>
      </c>
      <c r="X2" s="9" t="inlineStr">
        <is>
          <t xml:space="preserve">MONTO FC </t>
        </is>
      </c>
      <c r="Y2" s="12" t="inlineStr">
        <is>
          <t>MONTO X TRX</t>
        </is>
      </c>
      <c r="Z2" s="11" t="inlineStr">
        <is>
          <t xml:space="preserve">TRX </t>
        </is>
      </c>
      <c r="AA2" s="9" t="inlineStr">
        <is>
          <t>% TRX MES</t>
        </is>
      </c>
      <c r="AB2" s="9" t="inlineStr">
        <is>
          <t xml:space="preserve">MONTO FC </t>
        </is>
      </c>
      <c r="AC2" s="12" t="inlineStr">
        <is>
          <t>MONTO X TRX</t>
        </is>
      </c>
      <c r="AD2" s="11" t="inlineStr">
        <is>
          <t xml:space="preserve">TRX </t>
        </is>
      </c>
      <c r="AE2" s="9" t="inlineStr">
        <is>
          <t>% TRX MES</t>
        </is>
      </c>
      <c r="AF2" s="9" t="inlineStr">
        <is>
          <t xml:space="preserve">MONTO FC </t>
        </is>
      </c>
      <c r="AG2" s="12" t="inlineStr">
        <is>
          <t>MONTO X TRX</t>
        </is>
      </c>
      <c r="AH2" s="11" t="inlineStr">
        <is>
          <t xml:space="preserve">TRX </t>
        </is>
      </c>
      <c r="AI2" s="9" t="inlineStr">
        <is>
          <t>% TRX MES</t>
        </is>
      </c>
      <c r="AJ2" s="9" t="inlineStr">
        <is>
          <t xml:space="preserve">MONTO FC </t>
        </is>
      </c>
      <c r="AK2" s="12" t="inlineStr">
        <is>
          <t>MONTO X TRX</t>
        </is>
      </c>
      <c r="AL2" s="11" t="inlineStr">
        <is>
          <t xml:space="preserve">TRX </t>
        </is>
      </c>
      <c r="AM2" s="9" t="inlineStr">
        <is>
          <t>% TRX MES</t>
        </is>
      </c>
      <c r="AN2" s="9" t="inlineStr">
        <is>
          <t xml:space="preserve">MONTO FC </t>
        </is>
      </c>
      <c r="AO2" s="12" t="inlineStr">
        <is>
          <t>MONTO X TRX</t>
        </is>
      </c>
      <c r="AP2" s="11" t="inlineStr">
        <is>
          <t xml:space="preserve">TRX </t>
        </is>
      </c>
      <c r="AQ2" s="9" t="inlineStr">
        <is>
          <t>% TRX MES</t>
        </is>
      </c>
      <c r="AR2" s="9" t="inlineStr">
        <is>
          <t xml:space="preserve">MONTO FC </t>
        </is>
      </c>
      <c r="AS2" s="12" t="inlineStr">
        <is>
          <t>MONTO X TRX</t>
        </is>
      </c>
      <c r="AT2" s="11" t="inlineStr">
        <is>
          <t xml:space="preserve">TRX </t>
        </is>
      </c>
      <c r="AU2" s="9" t="inlineStr">
        <is>
          <t>% TRX MES</t>
        </is>
      </c>
      <c r="AV2" s="9" t="inlineStr">
        <is>
          <t xml:space="preserve">MONTO FC </t>
        </is>
      </c>
      <c r="AW2" s="12" t="inlineStr">
        <is>
          <t>MONTO X TRX</t>
        </is>
      </c>
      <c r="AX2" s="11" t="inlineStr">
        <is>
          <t xml:space="preserve">TRX </t>
        </is>
      </c>
      <c r="AY2" s="9" t="inlineStr">
        <is>
          <t>% TRX MES</t>
        </is>
      </c>
      <c r="AZ2" s="9" t="inlineStr">
        <is>
          <t xml:space="preserve">MONTO FC </t>
        </is>
      </c>
      <c r="BA2" s="12" t="inlineStr">
        <is>
          <t>MONTO X TRX</t>
        </is>
      </c>
      <c r="BB2" s="11" t="inlineStr">
        <is>
          <t xml:space="preserve">TRX </t>
        </is>
      </c>
      <c r="BC2" s="9" t="inlineStr">
        <is>
          <t>% TRX MES</t>
        </is>
      </c>
      <c r="BD2" s="9" t="inlineStr">
        <is>
          <t xml:space="preserve">MONTO FC </t>
        </is>
      </c>
      <c r="BE2" s="12" t="inlineStr">
        <is>
          <t>MONTO X TRX</t>
        </is>
      </c>
      <c r="BF2" s="13" t="inlineStr">
        <is>
          <t xml:space="preserve">TRX </t>
        </is>
      </c>
      <c r="BG2" s="14" t="inlineStr">
        <is>
          <t>% TRX MES</t>
        </is>
      </c>
      <c r="BH2" s="14" t="inlineStr">
        <is>
          <t xml:space="preserve">MONTO FC </t>
        </is>
      </c>
      <c r="BI2" s="15" t="inlineStr">
        <is>
          <t>MONTO X TRX</t>
        </is>
      </c>
    </row>
    <row r="3" ht="14.25" customHeight="1" s="62">
      <c r="A3" s="16" t="n">
        <v>5004</v>
      </c>
      <c r="B3" s="17" t="inlineStr">
        <is>
          <t>PROGRAMA TEVAcuidar (TEVA)</t>
        </is>
      </c>
      <c r="C3" s="17" t="inlineStr">
        <is>
          <t>TEVA</t>
        </is>
      </c>
      <c r="D3" s="16" t="inlineStr">
        <is>
          <t>NO</t>
        </is>
      </c>
      <c r="E3" s="16" t="inlineStr">
        <is>
          <t>NO</t>
        </is>
      </c>
      <c r="F3" s="18" t="inlineStr">
        <is>
          <t>SI - ETICOS</t>
        </is>
      </c>
      <c r="G3" s="18" t="inlineStr">
        <is>
          <t>ABONO MENSUAL - LIMITE DE TRX 2000</t>
        </is>
      </c>
      <c r="H3" s="18" t="inlineStr">
        <is>
          <t>Trimstral por IPC Indec</t>
        </is>
      </c>
      <c r="I3" s="19" t="inlineStr">
        <is>
          <t>PRODUCTIVO</t>
        </is>
      </c>
      <c r="J3" s="20" t="n">
        <v>147</v>
      </c>
      <c r="K3" s="21">
        <f>J3/J$37</f>
        <v/>
      </c>
      <c r="L3" s="22" t="n">
        <v>10878</v>
      </c>
      <c r="M3" s="23">
        <f>L3/J3</f>
        <v/>
      </c>
      <c r="N3" s="20" t="n">
        <v>135</v>
      </c>
      <c r="O3" s="21">
        <f>N3/N$37</f>
        <v/>
      </c>
      <c r="P3" s="22" t="n">
        <v>9990</v>
      </c>
      <c r="Q3" s="23">
        <f>P3/N3</f>
        <v/>
      </c>
      <c r="R3" s="20" t="n">
        <v>172</v>
      </c>
      <c r="S3" s="21">
        <f>R3/R$37</f>
        <v/>
      </c>
      <c r="T3" s="22" t="n">
        <v>12728</v>
      </c>
      <c r="U3" s="23">
        <f>T3/R3</f>
        <v/>
      </c>
      <c r="V3" s="20" t="n">
        <v>150</v>
      </c>
      <c r="W3" s="21">
        <f>V3/V$37</f>
        <v/>
      </c>
      <c r="X3" s="22" t="n">
        <v>13950</v>
      </c>
      <c r="Y3" s="23">
        <f>X3/V3</f>
        <v/>
      </c>
      <c r="Z3" s="20" t="n"/>
      <c r="AA3" s="21">
        <f>Z3/Z$37</f>
        <v/>
      </c>
      <c r="AB3" s="22" t="n"/>
      <c r="AC3" s="23">
        <f>AB3/Z3</f>
        <v/>
      </c>
      <c r="AD3" s="20" t="n"/>
      <c r="AE3" s="21">
        <f>AD3/AD$37</f>
        <v/>
      </c>
      <c r="AF3" s="22" t="n"/>
      <c r="AG3" s="23">
        <f>AF3/AD3</f>
        <v/>
      </c>
      <c r="AH3" s="20" t="n"/>
      <c r="AI3" s="21">
        <f>AH3/AH$37</f>
        <v/>
      </c>
      <c r="AJ3" s="22" t="n"/>
      <c r="AK3" s="23">
        <f>AJ3/AH3</f>
        <v/>
      </c>
      <c r="AL3" s="20" t="n"/>
      <c r="AM3" s="21">
        <f>AL3/AL$37</f>
        <v/>
      </c>
      <c r="AN3" s="22" t="n"/>
      <c r="AO3" s="23">
        <f>AN3/AL3</f>
        <v/>
      </c>
      <c r="AP3" s="20" t="n"/>
      <c r="AQ3" s="21">
        <f>AP3/AP$37</f>
        <v/>
      </c>
      <c r="AR3" s="24" t="n"/>
      <c r="AS3" s="23" t="n"/>
      <c r="AT3" s="20" t="n"/>
      <c r="AU3" s="21">
        <f>AR3/AR$37</f>
        <v/>
      </c>
      <c r="AV3" s="24" t="n"/>
      <c r="AW3" s="23" t="n"/>
      <c r="AX3" s="20" t="n"/>
      <c r="AY3" s="21">
        <f>AU3/AU$37</f>
        <v/>
      </c>
      <c r="AZ3" s="24" t="n"/>
      <c r="BA3" s="23" t="n"/>
      <c r="BB3" s="20" t="n"/>
      <c r="BC3" s="21">
        <f>BB3/BB$37</f>
        <v/>
      </c>
      <c r="BD3" s="24" t="n"/>
      <c r="BE3" s="23" t="n"/>
      <c r="BF3" s="25">
        <f>SUM(J3+N3+R3+V3+Z3+AD3+AH3+AL3+AP3+AT3+AX3+BB3)</f>
        <v/>
      </c>
      <c r="BG3" s="21">
        <f>BF3/BF$37</f>
        <v/>
      </c>
      <c r="BH3" s="26">
        <f>SUM(BD3+AZ3+AV3+AR3+AN3+AJ3+AF3++AB3+X3+T3+P3+L3)</f>
        <v/>
      </c>
      <c r="BI3" s="27">
        <f>BH3/BF3</f>
        <v/>
      </c>
    </row>
    <row r="4" ht="14.25" customHeight="1" s="62">
      <c r="A4" s="16" t="n">
        <v>5005</v>
      </c>
      <c r="B4" s="17" t="inlineStr">
        <is>
          <t>PROGRAMA ELEGIR SALUD (AZ)</t>
        </is>
      </c>
      <c r="C4" s="17" t="inlineStr">
        <is>
          <t>ASTRAZENECA</t>
        </is>
      </c>
      <c r="D4" s="16" t="inlineStr">
        <is>
          <t>SI</t>
        </is>
      </c>
      <c r="E4" s="16" t="inlineStr">
        <is>
          <t>SI</t>
        </is>
      </c>
      <c r="F4" s="17" t="n"/>
      <c r="G4" s="18" t="inlineStr">
        <is>
          <t>Valor fijo por operación</t>
        </is>
      </c>
      <c r="H4" s="17" t="inlineStr">
        <is>
          <t>Mensual por IPC Caba</t>
        </is>
      </c>
      <c r="I4" s="19" t="inlineStr">
        <is>
          <t>PRODUCTIVO</t>
        </is>
      </c>
      <c r="J4" s="20" t="n">
        <v>15730</v>
      </c>
      <c r="K4" s="21">
        <f>J4/J$37</f>
        <v/>
      </c>
      <c r="L4" s="24" t="n">
        <v>3164020</v>
      </c>
      <c r="M4" s="23">
        <f>L4/J4</f>
        <v/>
      </c>
      <c r="N4" s="20" t="n">
        <v>13198</v>
      </c>
      <c r="O4" s="21">
        <f>N4/N$37</f>
        <v/>
      </c>
      <c r="P4" s="22" t="n">
        <v>2976652</v>
      </c>
      <c r="Q4" s="23">
        <f>P4/N4</f>
        <v/>
      </c>
      <c r="R4" s="20" t="n">
        <v>14775</v>
      </c>
      <c r="S4" s="21">
        <f>R4/R$37</f>
        <v/>
      </c>
      <c r="T4" s="22" t="n">
        <v>3447758</v>
      </c>
      <c r="U4" s="23">
        <f>T4/R4</f>
        <v/>
      </c>
      <c r="V4" s="20" t="n">
        <v>14849</v>
      </c>
      <c r="W4" s="21">
        <f>V4/V$37</f>
        <v/>
      </c>
      <c r="X4" s="22" t="n">
        <v>3898957</v>
      </c>
      <c r="Y4" s="23">
        <f>X4/V4</f>
        <v/>
      </c>
      <c r="Z4" s="20" t="n"/>
      <c r="AA4" s="21">
        <f>Z4/Z$37</f>
        <v/>
      </c>
      <c r="AB4" s="22" t="n"/>
      <c r="AC4" s="23">
        <f>AB4/Z4</f>
        <v/>
      </c>
      <c r="AD4" s="20" t="n"/>
      <c r="AE4" s="21">
        <f>AD4/AD$37</f>
        <v/>
      </c>
      <c r="AF4" s="22" t="n"/>
      <c r="AG4" s="23">
        <f>AF4/AD4</f>
        <v/>
      </c>
      <c r="AH4" s="20" t="n"/>
      <c r="AI4" s="21">
        <f>AH4/AH$37</f>
        <v/>
      </c>
      <c r="AJ4" s="22" t="n"/>
      <c r="AK4" s="23">
        <f>AJ4/AH4</f>
        <v/>
      </c>
      <c r="AL4" s="20" t="n"/>
      <c r="AM4" s="21">
        <f>AL4/AL$37</f>
        <v/>
      </c>
      <c r="AN4" s="22" t="n"/>
      <c r="AO4" s="23">
        <f>AN4/AL4</f>
        <v/>
      </c>
      <c r="AP4" s="20" t="n"/>
      <c r="AQ4" s="21">
        <f>AP4/AP$37</f>
        <v/>
      </c>
      <c r="AR4" s="24" t="n"/>
      <c r="AS4" s="23" t="n"/>
      <c r="AT4" s="20" t="n"/>
      <c r="AU4" s="21">
        <f>AR4/AR$37</f>
        <v/>
      </c>
      <c r="AV4" s="24" t="n"/>
      <c r="AW4" s="23" t="n"/>
      <c r="AX4" s="20" t="n"/>
      <c r="AY4" s="21">
        <f>AU4/AU$37</f>
        <v/>
      </c>
      <c r="AZ4" s="24" t="n"/>
      <c r="BA4" s="23" t="n"/>
      <c r="BB4" s="20" t="n"/>
      <c r="BC4" s="21">
        <f>BB4/BB$37</f>
        <v/>
      </c>
      <c r="BD4" s="24" t="n"/>
      <c r="BE4" s="23" t="n"/>
      <c r="BF4" s="25">
        <f>SUM(J4+N4+R4+V4+Z4+AD4+AH4+AL4+AP4+AT4+AX4+BB4)</f>
        <v/>
      </c>
      <c r="BG4" s="21">
        <f>BF4/BF$37</f>
        <v/>
      </c>
      <c r="BH4" s="26">
        <f>SUM(BD4+AZ4+AV4+AR4+AN4+AJ4+AF4++AB4+X4+T4+P4+L4)</f>
        <v/>
      </c>
      <c r="BI4" s="27">
        <f>BH4/BF4</f>
        <v/>
      </c>
    </row>
    <row r="5" ht="14.25" customHeight="1" s="62">
      <c r="A5" s="16" t="n">
        <v>5010</v>
      </c>
      <c r="B5" s="17" t="inlineStr">
        <is>
          <t>BONOS LOREAL</t>
        </is>
      </c>
      <c r="C5" s="17" t="inlineStr">
        <is>
          <t>LOERAL</t>
        </is>
      </c>
      <c r="D5" s="16" t="inlineStr">
        <is>
          <t>NO</t>
        </is>
      </c>
      <c r="E5" s="16" t="inlineStr">
        <is>
          <t>NO</t>
        </is>
      </c>
      <c r="F5" s="17" t="inlineStr">
        <is>
          <t>SI - DINAMICAS - BONOS</t>
        </is>
      </c>
      <c r="G5" s="18" t="inlineStr">
        <is>
          <t>Bono hasta 25.000 trx $74.81 Después $63.91 - Dínamicas hasta 50.000 trx $47.09 Después $40.49</t>
        </is>
      </c>
      <c r="H5" s="17" t="inlineStr">
        <is>
          <t>Trimstral por IPC Indec</t>
        </is>
      </c>
      <c r="I5" s="19" t="inlineStr">
        <is>
          <t>PRODUCTIVO</t>
        </is>
      </c>
      <c r="J5" s="20" t="n">
        <v>91364</v>
      </c>
      <c r="K5" s="21">
        <f>J5/J$37</f>
        <v/>
      </c>
      <c r="L5" s="24" t="n">
        <v>6760936</v>
      </c>
      <c r="M5" s="23">
        <f>L5/J5</f>
        <v/>
      </c>
      <c r="N5" s="20" t="n">
        <v>74721</v>
      </c>
      <c r="O5" s="21">
        <f>N5/N$37</f>
        <v/>
      </c>
      <c r="P5" s="22" t="n">
        <v>5529354</v>
      </c>
      <c r="Q5" s="23">
        <f>P5/N5</f>
        <v/>
      </c>
      <c r="R5" s="20" t="n">
        <v>75325</v>
      </c>
      <c r="S5" s="21">
        <f>R5/R$37</f>
        <v/>
      </c>
      <c r="T5" s="22" t="n">
        <v>5574050</v>
      </c>
      <c r="U5" s="23">
        <f>T5/R5</f>
        <v/>
      </c>
      <c r="V5" s="20" t="n">
        <v>67206</v>
      </c>
      <c r="W5" s="21">
        <f>V5/V$37</f>
        <v/>
      </c>
      <c r="X5" s="22" t="n">
        <v>6250158</v>
      </c>
      <c r="Y5" s="23">
        <f>X5/V5</f>
        <v/>
      </c>
      <c r="Z5" s="20" t="n"/>
      <c r="AA5" s="21">
        <f>Z5/Z$37</f>
        <v/>
      </c>
      <c r="AB5" s="22" t="n"/>
      <c r="AC5" s="23">
        <f>AB5/Z5</f>
        <v/>
      </c>
      <c r="AD5" s="20" t="n"/>
      <c r="AE5" s="21">
        <f>AD5/AD$37</f>
        <v/>
      </c>
      <c r="AF5" s="22" t="n"/>
      <c r="AG5" s="23">
        <f>AF5/AD5</f>
        <v/>
      </c>
      <c r="AH5" s="20" t="n"/>
      <c r="AI5" s="21">
        <f>AH5/AH$37</f>
        <v/>
      </c>
      <c r="AJ5" s="22" t="n"/>
      <c r="AK5" s="23">
        <f>AJ5/AH5</f>
        <v/>
      </c>
      <c r="AL5" s="20" t="n"/>
      <c r="AM5" s="21">
        <f>AL5/AL$37</f>
        <v/>
      </c>
      <c r="AN5" s="22" t="n"/>
      <c r="AO5" s="23">
        <f>AN5/AL5</f>
        <v/>
      </c>
      <c r="AP5" s="20" t="n"/>
      <c r="AQ5" s="21">
        <f>AP5/AP$37</f>
        <v/>
      </c>
      <c r="AR5" s="24" t="n"/>
      <c r="AS5" s="23" t="n"/>
      <c r="AT5" s="20" t="n"/>
      <c r="AU5" s="21">
        <f>AR5/AR$37</f>
        <v/>
      </c>
      <c r="AV5" s="24" t="n"/>
      <c r="AW5" s="23" t="n"/>
      <c r="AX5" s="20" t="n"/>
      <c r="AY5" s="21">
        <f>AU5/AU$37</f>
        <v/>
      </c>
      <c r="AZ5" s="24" t="n"/>
      <c r="BA5" s="23" t="n"/>
      <c r="BB5" s="20" t="n"/>
      <c r="BC5" s="21">
        <f>BB5/BB$37</f>
        <v/>
      </c>
      <c r="BD5" s="24" t="n"/>
      <c r="BE5" s="23" t="n"/>
      <c r="BF5" s="25">
        <f>SUM(J5+N5+R5+V5+Z5+AD5+AH5+AL5+AP5+AT5+AX5+BB5)</f>
        <v/>
      </c>
      <c r="BG5" s="21">
        <f>BF5/BF$37</f>
        <v/>
      </c>
      <c r="BH5" s="26">
        <f>SUM(BD5+AZ5+AV5+AR5+AN5+AJ5+AF5++AB5+X5+T5+P5+L5)</f>
        <v/>
      </c>
      <c r="BI5" s="27">
        <f>BH5/BF5</f>
        <v/>
      </c>
    </row>
    <row r="6" ht="14.25" customHeight="1" s="62">
      <c r="A6" s="16" t="n">
        <v>5011</v>
      </c>
      <c r="B6" s="17" t="inlineStr">
        <is>
          <t>PROGRAMA BENEFICIARTE (FERRING)</t>
        </is>
      </c>
      <c r="C6" s="17" t="inlineStr">
        <is>
          <t>FERRING</t>
        </is>
      </c>
      <c r="D6" s="16" t="inlineStr">
        <is>
          <t>NO</t>
        </is>
      </c>
      <c r="E6" s="16" t="inlineStr">
        <is>
          <t>NO</t>
        </is>
      </c>
      <c r="F6" s="17" t="inlineStr">
        <is>
          <t>SI - ETICOS</t>
        </is>
      </c>
      <c r="G6" s="18" t="inlineStr">
        <is>
          <t>ABONO MENSUAL - LIMITE DE TRX 2000</t>
        </is>
      </c>
      <c r="H6" s="17" t="inlineStr">
        <is>
          <t>Trimstral por IPC Indec</t>
        </is>
      </c>
      <c r="I6" s="19" t="inlineStr">
        <is>
          <t>PRODUCTIVO</t>
        </is>
      </c>
      <c r="J6" s="20" t="n">
        <v>453</v>
      </c>
      <c r="K6" s="21">
        <f>J6/J$37</f>
        <v/>
      </c>
      <c r="L6" s="22" t="n">
        <v>33522</v>
      </c>
      <c r="M6" s="23">
        <f>L6/J6</f>
        <v/>
      </c>
      <c r="N6" s="20" t="n">
        <v>394</v>
      </c>
      <c r="O6" s="21">
        <f>N6/N$37</f>
        <v/>
      </c>
      <c r="P6" s="22" t="n">
        <v>29156</v>
      </c>
      <c r="Q6" s="23">
        <f>P6/N6</f>
        <v/>
      </c>
      <c r="R6" s="20" t="n">
        <v>518</v>
      </c>
      <c r="S6" s="21">
        <f>R6/R$37</f>
        <v/>
      </c>
      <c r="T6" s="22" t="n">
        <v>38332</v>
      </c>
      <c r="U6" s="23">
        <f>T6/R6</f>
        <v/>
      </c>
      <c r="V6" s="20" t="n">
        <v>484</v>
      </c>
      <c r="W6" s="21">
        <f>V6/V$37</f>
        <v/>
      </c>
      <c r="X6" s="22" t="n">
        <v>45012</v>
      </c>
      <c r="Y6" s="23">
        <f>X6/V6</f>
        <v/>
      </c>
      <c r="Z6" s="20" t="n"/>
      <c r="AA6" s="21">
        <f>Z6/Z$37</f>
        <v/>
      </c>
      <c r="AB6" s="22" t="n"/>
      <c r="AC6" s="23">
        <f>AB6/Z6</f>
        <v/>
      </c>
      <c r="AD6" s="20" t="n"/>
      <c r="AE6" s="21">
        <f>AD6/AD$37</f>
        <v/>
      </c>
      <c r="AF6" s="22" t="n"/>
      <c r="AG6" s="23">
        <f>AF6/AD6</f>
        <v/>
      </c>
      <c r="AH6" s="20" t="n"/>
      <c r="AI6" s="21">
        <f>AH6/AH$37</f>
        <v/>
      </c>
      <c r="AJ6" s="22" t="n"/>
      <c r="AK6" s="23">
        <f>AJ6/AH6</f>
        <v/>
      </c>
      <c r="AL6" s="20" t="n"/>
      <c r="AM6" s="21">
        <f>AL6/AL$37</f>
        <v/>
      </c>
      <c r="AN6" s="22" t="n"/>
      <c r="AO6" s="23">
        <f>AN6/AL6</f>
        <v/>
      </c>
      <c r="AP6" s="20" t="n"/>
      <c r="AQ6" s="21">
        <f>AP6/AP$37</f>
        <v/>
      </c>
      <c r="AR6" s="24" t="n"/>
      <c r="AS6" s="23" t="n"/>
      <c r="AT6" s="20" t="n"/>
      <c r="AU6" s="21">
        <f>AR6/AR$37</f>
        <v/>
      </c>
      <c r="AV6" s="24" t="n"/>
      <c r="AW6" s="23" t="n"/>
      <c r="AX6" s="20" t="n"/>
      <c r="AY6" s="21">
        <f>AU6/AU$37</f>
        <v/>
      </c>
      <c r="AZ6" s="24" t="n"/>
      <c r="BA6" s="23" t="n"/>
      <c r="BB6" s="20" t="n"/>
      <c r="BC6" s="21">
        <f>BB6/BB$37</f>
        <v/>
      </c>
      <c r="BD6" s="24" t="n"/>
      <c r="BE6" s="23" t="n"/>
      <c r="BF6" s="25">
        <f>SUM(J6+N6+R6+V6+Z6+AD6+AH6+AL6+AP6+AT6+AX6+BB6)</f>
        <v/>
      </c>
      <c r="BG6" s="21">
        <f>BF6/BF$37</f>
        <v/>
      </c>
      <c r="BH6" s="26">
        <f>SUM(BD6+AZ6+AV6+AR6+AN6+AJ6+AF6++AB6+X6+T6+P6+L6)</f>
        <v/>
      </c>
      <c r="BI6" s="27">
        <f>BH6/BF6</f>
        <v/>
      </c>
    </row>
    <row r="7" ht="14.25" customHeight="1" s="62">
      <c r="A7" s="16" t="n">
        <v>5014</v>
      </c>
      <c r="B7" s="17" t="inlineStr">
        <is>
          <t>PROGRAMA ROSSMORE (ROSSMORE)</t>
        </is>
      </c>
      <c r="C7" s="17" t="inlineStr">
        <is>
          <t>ROSSMORE</t>
        </is>
      </c>
      <c r="D7" s="16" t="inlineStr">
        <is>
          <t>NO</t>
        </is>
      </c>
      <c r="E7" s="16" t="inlineStr">
        <is>
          <t>NO</t>
        </is>
      </c>
      <c r="F7" s="17" t="inlineStr">
        <is>
          <t>SI - ETICOS</t>
        </is>
      </c>
      <c r="G7" s="18" t="inlineStr">
        <is>
          <t>ABONO MENSUAL - LIMITE DE TRX 2000</t>
        </is>
      </c>
      <c r="H7" s="17" t="inlineStr">
        <is>
          <t>Trimstral por IPC Indec</t>
        </is>
      </c>
      <c r="I7" s="19" t="inlineStr">
        <is>
          <t>PRODUCTIVO</t>
        </is>
      </c>
      <c r="J7" s="20" t="n">
        <v>1549</v>
      </c>
      <c r="K7" s="21">
        <f>J7/J$37</f>
        <v/>
      </c>
      <c r="L7" s="22" t="n">
        <v>114626</v>
      </c>
      <c r="M7" s="23">
        <f>L7/J7</f>
        <v/>
      </c>
      <c r="N7" s="20" t="n">
        <v>1437</v>
      </c>
      <c r="O7" s="21">
        <f>N7/N$37</f>
        <v/>
      </c>
      <c r="P7" s="22" t="n">
        <v>106338</v>
      </c>
      <c r="Q7" s="23">
        <f>P7/N7</f>
        <v/>
      </c>
      <c r="R7" s="20" t="n">
        <v>1708</v>
      </c>
      <c r="S7" s="21">
        <f>R7/R$37</f>
        <v/>
      </c>
      <c r="T7" s="22" t="n">
        <v>126392</v>
      </c>
      <c r="U7" s="23">
        <f>T7/R7</f>
        <v/>
      </c>
      <c r="V7" s="20" t="n">
        <v>1683</v>
      </c>
      <c r="W7" s="21">
        <f>V7/V$37</f>
        <v/>
      </c>
      <c r="X7" s="22" t="n">
        <v>156519</v>
      </c>
      <c r="Y7" s="23">
        <f>X7/V7</f>
        <v/>
      </c>
      <c r="Z7" s="20" t="n"/>
      <c r="AA7" s="21">
        <f>Z7/Z$37</f>
        <v/>
      </c>
      <c r="AB7" s="22" t="n"/>
      <c r="AC7" s="23">
        <f>AB7/Z7</f>
        <v/>
      </c>
      <c r="AD7" s="20" t="n"/>
      <c r="AE7" s="21">
        <f>AD7/AD$37</f>
        <v/>
      </c>
      <c r="AF7" s="22" t="n"/>
      <c r="AG7" s="23">
        <f>AF7/AD7</f>
        <v/>
      </c>
      <c r="AH7" s="20" t="n"/>
      <c r="AI7" s="21">
        <f>AH7/AH$37</f>
        <v/>
      </c>
      <c r="AJ7" s="22" t="n"/>
      <c r="AK7" s="23">
        <f>AJ7/AH7</f>
        <v/>
      </c>
      <c r="AL7" s="20" t="n"/>
      <c r="AM7" s="21">
        <f>AL7/AL$37</f>
        <v/>
      </c>
      <c r="AN7" s="22" t="n"/>
      <c r="AO7" s="23">
        <f>AN7/AL7</f>
        <v/>
      </c>
      <c r="AP7" s="20" t="n"/>
      <c r="AQ7" s="21">
        <f>AP7/AP$37</f>
        <v/>
      </c>
      <c r="AR7" s="24" t="n"/>
      <c r="AS7" s="23" t="n"/>
      <c r="AT7" s="20" t="n"/>
      <c r="AU7" s="21">
        <f>AR7/AR$37</f>
        <v/>
      </c>
      <c r="AV7" s="24" t="n"/>
      <c r="AW7" s="23" t="n"/>
      <c r="AX7" s="20" t="n"/>
      <c r="AY7" s="21">
        <f>AU7/AU$37</f>
        <v/>
      </c>
      <c r="AZ7" s="24" t="n"/>
      <c r="BA7" s="23" t="n"/>
      <c r="BB7" s="20" t="n"/>
      <c r="BC7" s="21">
        <f>BB7/BB$37</f>
        <v/>
      </c>
      <c r="BD7" s="24" t="n"/>
      <c r="BE7" s="23" t="n"/>
      <c r="BF7" s="25">
        <f>SUM(J7+N7+R7+V7+Z7+AD7+AH7+AL7+AP7+AT7+AX7+BB7)</f>
        <v/>
      </c>
      <c r="BG7" s="21">
        <f>BF7/BF$37</f>
        <v/>
      </c>
      <c r="BH7" s="26">
        <f>SUM(BD7+AZ7+AV7+AR7+AN7+AJ7+AF7++AB7+X7+T7+P7+L7)</f>
        <v/>
      </c>
      <c r="BI7" s="27">
        <f>BH7/BF7</f>
        <v/>
      </c>
    </row>
    <row r="8" ht="14.25" customHeight="1" s="62">
      <c r="A8" s="16" t="n">
        <v>5015</v>
      </c>
      <c r="B8" s="17" t="inlineStr">
        <is>
          <t>PROGRAMA MAS SIMPLE (BAYER)</t>
        </is>
      </c>
      <c r="C8" s="17" t="inlineStr">
        <is>
          <t>BAYER</t>
        </is>
      </c>
      <c r="D8" s="16" t="inlineStr">
        <is>
          <t>SI</t>
        </is>
      </c>
      <c r="E8" s="16" t="inlineStr">
        <is>
          <t>NO</t>
        </is>
      </c>
      <c r="F8" s="17" t="n"/>
      <c r="G8" s="18" t="inlineStr">
        <is>
          <t>Automático por 0,50% PVP. Con mínimo</t>
        </is>
      </c>
      <c r="H8" s="18" t="n"/>
      <c r="I8" s="19" t="inlineStr">
        <is>
          <t>PRODUCTIVO</t>
        </is>
      </c>
      <c r="J8" s="20" t="n">
        <v>1154</v>
      </c>
      <c r="K8" s="21">
        <f>J8/J$37</f>
        <v/>
      </c>
      <c r="L8" s="22" t="n">
        <v>972221.92</v>
      </c>
      <c r="M8" s="23">
        <f>L8/J8</f>
        <v/>
      </c>
      <c r="N8" s="20" t="n">
        <v>1090</v>
      </c>
      <c r="O8" s="21">
        <f>N8/N$37</f>
        <v/>
      </c>
      <c r="P8" s="22" t="n">
        <v>941267.72</v>
      </c>
      <c r="Q8" s="23">
        <f>P8/N8</f>
        <v/>
      </c>
      <c r="R8" s="20" t="n">
        <v>1181</v>
      </c>
      <c r="S8" s="21">
        <f>R8/R$37</f>
        <v/>
      </c>
      <c r="T8" s="22" t="n">
        <v>1044493.17</v>
      </c>
      <c r="U8" s="23">
        <f>T8/R8</f>
        <v/>
      </c>
      <c r="V8" s="20" t="n">
        <v>1178</v>
      </c>
      <c r="W8" s="21">
        <f>V8/V$37</f>
        <v/>
      </c>
      <c r="X8" s="22" t="n">
        <v>1075303.74</v>
      </c>
      <c r="Y8" s="23">
        <f>X8/V8</f>
        <v/>
      </c>
      <c r="Z8" s="20" t="n"/>
      <c r="AA8" s="21">
        <f>Z8/Z$37</f>
        <v/>
      </c>
      <c r="AB8" s="22" t="n"/>
      <c r="AC8" s="23">
        <f>AB8/Z8</f>
        <v/>
      </c>
      <c r="AD8" s="20" t="n"/>
      <c r="AE8" s="21">
        <f>AD8/AD$37</f>
        <v/>
      </c>
      <c r="AF8" s="22" t="n"/>
      <c r="AG8" s="23">
        <f>AF8/AD8</f>
        <v/>
      </c>
      <c r="AH8" s="20" t="n"/>
      <c r="AI8" s="21">
        <f>AH8/AH$37</f>
        <v/>
      </c>
      <c r="AJ8" s="22" t="n"/>
      <c r="AK8" s="23">
        <f>AJ8/AH8</f>
        <v/>
      </c>
      <c r="AL8" s="20" t="n"/>
      <c r="AM8" s="21">
        <f>AL8/AL$37</f>
        <v/>
      </c>
      <c r="AN8" s="22" t="n"/>
      <c r="AO8" s="23">
        <f>AN8/AL8</f>
        <v/>
      </c>
      <c r="AP8" s="20" t="n"/>
      <c r="AQ8" s="21">
        <f>AP8/AP$37</f>
        <v/>
      </c>
      <c r="AR8" s="24" t="n"/>
      <c r="AS8" s="23" t="n"/>
      <c r="AT8" s="20" t="n"/>
      <c r="AU8" s="21">
        <f>AR8/AR$37</f>
        <v/>
      </c>
      <c r="AV8" s="24" t="n"/>
      <c r="AW8" s="23" t="n"/>
      <c r="AX8" s="20" t="n"/>
      <c r="AY8" s="21">
        <f>AU8/AU$37</f>
        <v/>
      </c>
      <c r="AZ8" s="24" t="n"/>
      <c r="BA8" s="23" t="n"/>
      <c r="BB8" s="20" t="n"/>
      <c r="BC8" s="21">
        <f>BB8/BB$37</f>
        <v/>
      </c>
      <c r="BD8" s="24" t="n"/>
      <c r="BE8" s="23" t="n"/>
      <c r="BF8" s="25">
        <f>SUM(J8+N8+R8+V8+Z8+AD8+AH8+AL8+AP8+AT8+AX8+BB8)</f>
        <v/>
      </c>
      <c r="BG8" s="21">
        <f>BF8/BF$37</f>
        <v/>
      </c>
      <c r="BH8" s="26">
        <f>SUM(BD8+AZ8+AV8+AR8+AN8+AJ8+AF8++AB8+X8+T8+P8+L8)</f>
        <v/>
      </c>
      <c r="BI8" s="27">
        <f>BH8/BF8</f>
        <v/>
      </c>
    </row>
    <row r="9" ht="14.25" customHeight="1" s="62">
      <c r="A9" s="16" t="n">
        <v>5020</v>
      </c>
      <c r="B9" s="17" t="inlineStr">
        <is>
          <t>BONOS EUCERIN</t>
        </is>
      </c>
      <c r="C9" s="17" t="inlineStr">
        <is>
          <t>BIERDORFF</t>
        </is>
      </c>
      <c r="D9" s="16" t="inlineStr">
        <is>
          <t>NO</t>
        </is>
      </c>
      <c r="E9" s="16" t="inlineStr">
        <is>
          <t>NO</t>
        </is>
      </c>
      <c r="F9" s="17" t="inlineStr">
        <is>
          <t>SI - DINAMICAS - BONOS</t>
        </is>
      </c>
      <c r="G9" s="18" t="inlineStr">
        <is>
          <t>Bono hasta 25.000 trx $74.81 Después $63.91 - Dínamicas hasta 50.000 trx $47.09 Después $40.49</t>
        </is>
      </c>
      <c r="H9" s="17" t="inlineStr">
        <is>
          <t>Trimstral por IPC Indec</t>
        </is>
      </c>
      <c r="I9" s="19" t="inlineStr">
        <is>
          <t>PRODUCTIVO</t>
        </is>
      </c>
      <c r="J9" s="20" t="n">
        <v>42157</v>
      </c>
      <c r="K9" s="21">
        <f>J9/J$37</f>
        <v/>
      </c>
      <c r="L9" s="24" t="n">
        <v>3119618</v>
      </c>
      <c r="M9" s="23">
        <f>L9/J9</f>
        <v/>
      </c>
      <c r="N9" s="20" t="n">
        <v>30505</v>
      </c>
      <c r="O9" s="21">
        <f>N9/N$37</f>
        <v/>
      </c>
      <c r="P9" s="22" t="n">
        <v>2257370</v>
      </c>
      <c r="Q9" s="23">
        <f>P9/N9</f>
        <v/>
      </c>
      <c r="R9" s="20" t="n">
        <v>34604</v>
      </c>
      <c r="S9" s="21">
        <f>R9/R$37</f>
        <v/>
      </c>
      <c r="T9" s="22" t="n">
        <v>2560696</v>
      </c>
      <c r="U9" s="23">
        <f>T9/R9</f>
        <v/>
      </c>
      <c r="V9" s="20" t="n">
        <v>29074</v>
      </c>
      <c r="W9" s="21">
        <f>V9/V$37</f>
        <v/>
      </c>
      <c r="X9" s="22" t="n">
        <v>2703882</v>
      </c>
      <c r="Y9" s="23">
        <f>X9/V9</f>
        <v/>
      </c>
      <c r="Z9" s="20" t="n"/>
      <c r="AA9" s="21">
        <f>Z9/Z$37</f>
        <v/>
      </c>
      <c r="AB9" s="22" t="n"/>
      <c r="AC9" s="23">
        <f>AB9/Z9</f>
        <v/>
      </c>
      <c r="AD9" s="20" t="n"/>
      <c r="AE9" s="21">
        <f>AD9/AD$37</f>
        <v/>
      </c>
      <c r="AF9" s="22" t="n"/>
      <c r="AG9" s="23">
        <f>AF9/AD9</f>
        <v/>
      </c>
      <c r="AH9" s="20" t="n"/>
      <c r="AI9" s="21">
        <f>AH9/AH$37</f>
        <v/>
      </c>
      <c r="AJ9" s="22" t="n"/>
      <c r="AK9" s="23">
        <f>AJ9/AH9</f>
        <v/>
      </c>
      <c r="AL9" s="20" t="n"/>
      <c r="AM9" s="21">
        <f>AL9/AL$37</f>
        <v/>
      </c>
      <c r="AN9" s="22" t="n"/>
      <c r="AO9" s="23">
        <f>AN9/AL9</f>
        <v/>
      </c>
      <c r="AP9" s="20" t="n"/>
      <c r="AQ9" s="21">
        <f>AP9/AP$37</f>
        <v/>
      </c>
      <c r="AR9" s="24" t="n"/>
      <c r="AS9" s="23" t="n"/>
      <c r="AT9" s="20" t="n"/>
      <c r="AU9" s="21">
        <f>AR9/AR$37</f>
        <v/>
      </c>
      <c r="AV9" s="24" t="n"/>
      <c r="AW9" s="23" t="n"/>
      <c r="AX9" s="20" t="n"/>
      <c r="AY9" s="21">
        <f>AU9/AU$37</f>
        <v/>
      </c>
      <c r="AZ9" s="24" t="n"/>
      <c r="BA9" s="23" t="n"/>
      <c r="BB9" s="20" t="n"/>
      <c r="BC9" s="21">
        <f>BB9/BB$37</f>
        <v/>
      </c>
      <c r="BD9" s="24" t="n"/>
      <c r="BE9" s="23" t="n"/>
      <c r="BF9" s="25">
        <f>SUM(J9+N9+R9+V9+Z9+AD9+AH9+AL9+AP9+AT9+AX9+BB9)</f>
        <v/>
      </c>
      <c r="BG9" s="21">
        <f>BF9/BF$37</f>
        <v/>
      </c>
      <c r="BH9" s="26">
        <f>SUM(BD9+AZ9+AV9+AR9+AN9+AJ9+AF9++AB9+X9+T9+P9+L9)</f>
        <v/>
      </c>
      <c r="BI9" s="27">
        <f>BH9/BF9</f>
        <v/>
      </c>
    </row>
    <row r="10" ht="14.25" customHeight="1" s="62">
      <c r="A10" s="16" t="n">
        <v>5022</v>
      </c>
      <c r="B10" s="17" t="inlineStr">
        <is>
          <t>OFERTAS CASASCO</t>
        </is>
      </c>
      <c r="C10" s="17" t="inlineStr">
        <is>
          <t>CASASCO</t>
        </is>
      </c>
      <c r="D10" s="16" t="inlineStr">
        <is>
          <t>NO</t>
        </is>
      </c>
      <c r="E10" s="16" t="inlineStr">
        <is>
          <t>NO</t>
        </is>
      </c>
      <c r="F10" s="17" t="inlineStr">
        <is>
          <t>SI - DINAMICAS - BONOS</t>
        </is>
      </c>
      <c r="G10" s="18" t="inlineStr">
        <is>
          <t>Bono hasta 25.000 trx $74.81 Después $63.91 - Dínamicas hasta 50.000 trx $47.09 Después $40.49</t>
        </is>
      </c>
      <c r="H10" s="17" t="inlineStr">
        <is>
          <t>Trimstral por IPC Indec</t>
        </is>
      </c>
      <c r="I10" s="19" t="inlineStr">
        <is>
          <t>PRODUCTIVO</t>
        </is>
      </c>
      <c r="J10" s="20" t="n">
        <v>34587</v>
      </c>
      <c r="K10" s="21">
        <f>J10/J$37</f>
        <v/>
      </c>
      <c r="L10" s="24" t="n">
        <v>2559438</v>
      </c>
      <c r="M10" s="23">
        <f>L10/J10</f>
        <v/>
      </c>
      <c r="N10" s="20" t="n">
        <v>28811</v>
      </c>
      <c r="O10" s="21">
        <f>N10/N$37</f>
        <v/>
      </c>
      <c r="P10" s="22" t="n">
        <v>2132014</v>
      </c>
      <c r="Q10" s="23">
        <f>P10/N10</f>
        <v/>
      </c>
      <c r="R10" s="20" t="n">
        <v>28256</v>
      </c>
      <c r="S10" s="21">
        <f>R10/R$37</f>
        <v/>
      </c>
      <c r="T10" s="22" t="n">
        <v>2090944</v>
      </c>
      <c r="U10" s="23">
        <f>T10/R10</f>
        <v/>
      </c>
      <c r="V10" s="20" t="n">
        <v>25273</v>
      </c>
      <c r="W10" s="21">
        <f>V10/V$37</f>
        <v/>
      </c>
      <c r="X10" s="22" t="n">
        <v>2350389</v>
      </c>
      <c r="Y10" s="23">
        <f>X10/V10</f>
        <v/>
      </c>
      <c r="Z10" s="20" t="n"/>
      <c r="AA10" s="21">
        <f>Z10/Z$37</f>
        <v/>
      </c>
      <c r="AB10" s="22" t="n"/>
      <c r="AC10" s="23">
        <f>AB10/Z10</f>
        <v/>
      </c>
      <c r="AD10" s="20" t="n"/>
      <c r="AE10" s="21">
        <f>AD10/AD$37</f>
        <v/>
      </c>
      <c r="AF10" s="22" t="n"/>
      <c r="AG10" s="23">
        <f>AF10/AD10</f>
        <v/>
      </c>
      <c r="AH10" s="20" t="n"/>
      <c r="AI10" s="21">
        <f>AH10/AH$37</f>
        <v/>
      </c>
      <c r="AJ10" s="22" t="n"/>
      <c r="AK10" s="23">
        <f>AJ10/AH10</f>
        <v/>
      </c>
      <c r="AL10" s="20" t="n"/>
      <c r="AM10" s="21">
        <f>AL10/AL$37</f>
        <v/>
      </c>
      <c r="AN10" s="22" t="n"/>
      <c r="AO10" s="23">
        <f>AN10/AL10</f>
        <v/>
      </c>
      <c r="AP10" s="20" t="n"/>
      <c r="AQ10" s="21">
        <f>AP10/AP$37</f>
        <v/>
      </c>
      <c r="AR10" s="24" t="n"/>
      <c r="AS10" s="23" t="n"/>
      <c r="AT10" s="20" t="n"/>
      <c r="AU10" s="21">
        <f>AR10/AR$37</f>
        <v/>
      </c>
      <c r="AV10" s="24" t="n"/>
      <c r="AW10" s="23" t="n"/>
      <c r="AX10" s="20" t="n"/>
      <c r="AY10" s="21">
        <f>AU10/AU$37</f>
        <v/>
      </c>
      <c r="AZ10" s="24" t="n"/>
      <c r="BA10" s="23" t="n"/>
      <c r="BB10" s="20" t="n"/>
      <c r="BC10" s="21">
        <f>BB10/BB$37</f>
        <v/>
      </c>
      <c r="BD10" s="24" t="n"/>
      <c r="BE10" s="23" t="n"/>
      <c r="BF10" s="25">
        <f>SUM(J10+N10+R10+V10+Z10+AD10+AH10+AL10+AP10+AT10+AX10+BB10)</f>
        <v/>
      </c>
      <c r="BG10" s="21">
        <f>BF10/BF$37</f>
        <v/>
      </c>
      <c r="BH10" s="26">
        <f>SUM(BD10+AZ10+AV10+AR10+AN10+AJ10+AF10++AB10+X10+T10+P9+L10)</f>
        <v/>
      </c>
      <c r="BI10" s="27">
        <f>BH10/BF10</f>
        <v/>
      </c>
    </row>
    <row r="11" ht="14.25" customHeight="1" s="62">
      <c r="A11" s="16" t="n">
        <v>5023</v>
      </c>
      <c r="B11" s="17" t="inlineStr">
        <is>
          <t>PROGRAMA FARMASPEN</t>
        </is>
      </c>
      <c r="C11" s="17" t="inlineStr">
        <is>
          <t>ASPEN</t>
        </is>
      </c>
      <c r="D11" s="16" t="inlineStr">
        <is>
          <t>NO</t>
        </is>
      </c>
      <c r="E11" s="16" t="inlineStr">
        <is>
          <t>NO</t>
        </is>
      </c>
      <c r="F11" s="17" t="inlineStr">
        <is>
          <t>SI - ETICOS</t>
        </is>
      </c>
      <c r="G11" s="18" t="inlineStr">
        <is>
          <t>ABONO MENSUAL - LIMITE DE TRX 2000</t>
        </is>
      </c>
      <c r="H11" s="17" t="inlineStr">
        <is>
          <t>Trimstral por IPC Indec</t>
        </is>
      </c>
      <c r="I11" s="19" t="inlineStr">
        <is>
          <t>PRODUCTIVO</t>
        </is>
      </c>
      <c r="J11" s="20" t="n">
        <v>1991</v>
      </c>
      <c r="K11" s="21">
        <f>J11/J$37</f>
        <v/>
      </c>
      <c r="L11" s="22" t="n">
        <v>147334</v>
      </c>
      <c r="M11" s="23">
        <f>L11/J11</f>
        <v/>
      </c>
      <c r="N11" s="20" t="n">
        <v>1778</v>
      </c>
      <c r="O11" s="21">
        <f>N11/N$37</f>
        <v/>
      </c>
      <c r="P11" s="22" t="n">
        <v>131572</v>
      </c>
      <c r="Q11" s="23">
        <f>P11/N11</f>
        <v/>
      </c>
      <c r="R11" s="20" t="n">
        <v>2097</v>
      </c>
      <c r="S11" s="21">
        <f>R11/R$37</f>
        <v/>
      </c>
      <c r="T11" s="22" t="n">
        <v>155178</v>
      </c>
      <c r="U11" s="23">
        <f>T11/R11</f>
        <v/>
      </c>
      <c r="V11" s="20" t="n">
        <v>2285</v>
      </c>
      <c r="W11" s="21">
        <f>V11/V$37</f>
        <v/>
      </c>
      <c r="X11" s="22" t="n">
        <v>212505</v>
      </c>
      <c r="Y11" s="23">
        <f>X11/V11</f>
        <v/>
      </c>
      <c r="Z11" s="20" t="n"/>
      <c r="AA11" s="21">
        <f>Z11/Z$37</f>
        <v/>
      </c>
      <c r="AB11" s="22" t="n"/>
      <c r="AC11" s="23">
        <f>AB11/Z11</f>
        <v/>
      </c>
      <c r="AD11" s="20" t="n"/>
      <c r="AE11" s="21">
        <f>AD11/AD$37</f>
        <v/>
      </c>
      <c r="AF11" s="22" t="n"/>
      <c r="AG11" s="23">
        <f>AF11/AD11</f>
        <v/>
      </c>
      <c r="AH11" s="20" t="n"/>
      <c r="AI11" s="21">
        <f>AH11/AH$37</f>
        <v/>
      </c>
      <c r="AJ11" s="22" t="n"/>
      <c r="AK11" s="23">
        <f>AJ11/AH11</f>
        <v/>
      </c>
      <c r="AL11" s="20" t="n"/>
      <c r="AM11" s="21">
        <f>AL11/AL$37</f>
        <v/>
      </c>
      <c r="AN11" s="22" t="n"/>
      <c r="AO11" s="23">
        <f>AN11/AL11</f>
        <v/>
      </c>
      <c r="AP11" s="20" t="n"/>
      <c r="AQ11" s="21">
        <f>AP11/AP$37</f>
        <v/>
      </c>
      <c r="AR11" s="24" t="n"/>
      <c r="AS11" s="23" t="n"/>
      <c r="AT11" s="20" t="n"/>
      <c r="AU11" s="21">
        <f>AR11/AR$37</f>
        <v/>
      </c>
      <c r="AV11" s="24" t="n"/>
      <c r="AW11" s="23" t="n"/>
      <c r="AX11" s="20" t="n"/>
      <c r="AY11" s="21">
        <f>AU11/AU$37</f>
        <v/>
      </c>
      <c r="AZ11" s="24" t="n"/>
      <c r="BA11" s="23" t="n"/>
      <c r="BB11" s="20" t="n"/>
      <c r="BC11" s="21">
        <f>BB11/BB$37</f>
        <v/>
      </c>
      <c r="BD11" s="24" t="n"/>
      <c r="BE11" s="23" t="n"/>
      <c r="BF11" s="25">
        <f>SUM(J11+N11+R11+V11+Z11+AD11+AH11+AL11+AP11+AT11+AX11+BB11)</f>
        <v/>
      </c>
      <c r="BG11" s="21">
        <f>BF11/BF$37</f>
        <v/>
      </c>
      <c r="BH11" s="26">
        <f>SUM(BD11+AZ11+AV11+AR11+AN11+AJ11+AF11++AB11+X11+T11+P11+L11)</f>
        <v/>
      </c>
      <c r="BI11" s="27">
        <f>BH11/BF11</f>
        <v/>
      </c>
    </row>
    <row r="12" ht="14.25" customHeight="1" s="62">
      <c r="A12" s="16" t="n">
        <v>5024</v>
      </c>
      <c r="B12" s="17" t="inlineStr">
        <is>
          <t>NUTRICIA SIEMPRE JUNTOS (NUTRICIA BAGO)</t>
        </is>
      </c>
      <c r="C12" s="17" t="inlineStr">
        <is>
          <t>BAGO</t>
        </is>
      </c>
      <c r="D12" s="16" t="inlineStr">
        <is>
          <t>NO</t>
        </is>
      </c>
      <c r="E12" s="16" t="inlineStr">
        <is>
          <t>NO</t>
        </is>
      </c>
      <c r="F12" s="17" t="inlineStr">
        <is>
          <t>SI - ETICOS</t>
        </is>
      </c>
      <c r="G12" s="18" t="inlineStr">
        <is>
          <t>ABONO MENSUAL - LIMITE DE TRX 2000</t>
        </is>
      </c>
      <c r="H12" s="17" t="inlineStr">
        <is>
          <t>Trimstral por IPC Indec</t>
        </is>
      </c>
      <c r="I12" s="19" t="inlineStr">
        <is>
          <t>PRODUCTIVO</t>
        </is>
      </c>
      <c r="J12" s="20" t="n">
        <v>387</v>
      </c>
      <c r="K12" s="21">
        <f>J12/J$37</f>
        <v/>
      </c>
      <c r="L12" s="22" t="n">
        <v>28638</v>
      </c>
      <c r="M12" s="23">
        <f>L12/J12</f>
        <v/>
      </c>
      <c r="N12" s="20" t="n">
        <v>329</v>
      </c>
      <c r="O12" s="21">
        <f>N12/N$37</f>
        <v/>
      </c>
      <c r="P12" s="22" t="n">
        <v>24346</v>
      </c>
      <c r="Q12" s="23">
        <f>P12/N12</f>
        <v/>
      </c>
      <c r="R12" s="20" t="n">
        <v>383</v>
      </c>
      <c r="S12" s="21">
        <f>R12/R$37</f>
        <v/>
      </c>
      <c r="T12" s="22" t="n">
        <v>28342</v>
      </c>
      <c r="U12" s="23">
        <f>T12/R12</f>
        <v/>
      </c>
      <c r="V12" s="20" t="n">
        <v>421</v>
      </c>
      <c r="W12" s="21">
        <f>V12/V$37</f>
        <v/>
      </c>
      <c r="X12" s="22" t="n">
        <v>39153</v>
      </c>
      <c r="Y12" s="23">
        <f>X12/V12</f>
        <v/>
      </c>
      <c r="Z12" s="20" t="n"/>
      <c r="AA12" s="21">
        <f>Z12/Z$37</f>
        <v/>
      </c>
      <c r="AB12" s="22" t="n"/>
      <c r="AC12" s="23">
        <f>AB12/Z12</f>
        <v/>
      </c>
      <c r="AD12" s="20" t="n"/>
      <c r="AE12" s="21">
        <f>AD12/AD$37</f>
        <v/>
      </c>
      <c r="AF12" s="22" t="n"/>
      <c r="AG12" s="23">
        <f>AF12/AD12</f>
        <v/>
      </c>
      <c r="AH12" s="20" t="n"/>
      <c r="AI12" s="21">
        <f>AH12/AH$37</f>
        <v/>
      </c>
      <c r="AJ12" s="22" t="n"/>
      <c r="AK12" s="23">
        <f>AJ12/AH12</f>
        <v/>
      </c>
      <c r="AL12" s="20" t="n"/>
      <c r="AM12" s="21">
        <f>AL12/AL$37</f>
        <v/>
      </c>
      <c r="AN12" s="22" t="n"/>
      <c r="AO12" s="23">
        <f>AN12/AL12</f>
        <v/>
      </c>
      <c r="AP12" s="20" t="n"/>
      <c r="AQ12" s="21">
        <f>AP12/AP$37</f>
        <v/>
      </c>
      <c r="AR12" s="24" t="n"/>
      <c r="AS12" s="23" t="n"/>
      <c r="AT12" s="20" t="n"/>
      <c r="AU12" s="21">
        <f>AR12/AR$37</f>
        <v/>
      </c>
      <c r="AV12" s="24" t="n"/>
      <c r="AW12" s="23" t="n"/>
      <c r="AX12" s="20" t="n"/>
      <c r="AY12" s="21">
        <f>AU12/AU$37</f>
        <v/>
      </c>
      <c r="AZ12" s="24" t="n"/>
      <c r="BA12" s="23" t="n"/>
      <c r="BB12" s="20" t="n"/>
      <c r="BC12" s="21">
        <f>BB12/BB$37</f>
        <v/>
      </c>
      <c r="BD12" s="24" t="n"/>
      <c r="BE12" s="23" t="n"/>
      <c r="BF12" s="25">
        <f>SUM(J12+N12+R12+V12+Z12+AD12+AH12+AL12+AP12+AT12+AX12+BB12)</f>
        <v/>
      </c>
      <c r="BG12" s="21">
        <f>BF12/BF$37</f>
        <v/>
      </c>
      <c r="BH12" s="26">
        <f>SUM(BD12+AZ12+AV12+AR12+AN12+AJ12+AF12++AB12+X12+T12+P12+L12)</f>
        <v/>
      </c>
      <c r="BI12" s="27">
        <f>BH12/BF12</f>
        <v/>
      </c>
    </row>
    <row r="13" ht="14.25" customHeight="1" s="62">
      <c r="A13" s="16" t="n">
        <v>5025</v>
      </c>
      <c r="B13" s="17" t="inlineStr">
        <is>
          <t>PROGRAMA MAX COMPROMISO (MAX VISION)</t>
        </is>
      </c>
      <c r="C13" s="17" t="inlineStr">
        <is>
          <t>MAX VISION</t>
        </is>
      </c>
      <c r="D13" s="16" t="inlineStr">
        <is>
          <t>SI</t>
        </is>
      </c>
      <c r="E13" s="16" t="inlineStr">
        <is>
          <t>NO</t>
        </is>
      </c>
      <c r="F13" s="17" t="n"/>
      <c r="G13" s="18" t="inlineStr">
        <is>
          <t>Automático por 1,00% PVP</t>
        </is>
      </c>
      <c r="H13" s="18" t="n"/>
      <c r="I13" s="19" t="inlineStr">
        <is>
          <t>PRODUCTIVO</t>
        </is>
      </c>
      <c r="J13" s="20" t="n">
        <v>6309</v>
      </c>
      <c r="K13" s="21">
        <f>J13/J$37</f>
        <v/>
      </c>
      <c r="L13" s="22" t="n">
        <v>1313290.74</v>
      </c>
      <c r="M13" s="23">
        <f>L13/J13</f>
        <v/>
      </c>
      <c r="N13" s="20" t="n"/>
      <c r="O13" s="21">
        <f>N13/N$37</f>
        <v/>
      </c>
      <c r="P13" s="22" t="n"/>
      <c r="Q13" s="23">
        <f>P13/N13</f>
        <v/>
      </c>
      <c r="R13" s="20" t="n">
        <v>6019</v>
      </c>
      <c r="S13" s="21">
        <f>R13/R$37</f>
        <v/>
      </c>
      <c r="T13" s="22" t="n">
        <v>1368036.9</v>
      </c>
      <c r="U13" s="23">
        <f>T13/R13</f>
        <v/>
      </c>
      <c r="V13" s="20" t="n">
        <v>6040</v>
      </c>
      <c r="W13" s="21">
        <f>V13/V$37</f>
        <v/>
      </c>
      <c r="X13" s="22" t="n">
        <v>1378201.65</v>
      </c>
      <c r="Y13" s="23">
        <f>X13/V13</f>
        <v/>
      </c>
      <c r="Z13" s="20" t="n"/>
      <c r="AA13" s="21">
        <f>Z13/Z$37</f>
        <v/>
      </c>
      <c r="AB13" s="22" t="n"/>
      <c r="AC13" s="23">
        <f>AB13/Z13</f>
        <v/>
      </c>
      <c r="AD13" s="20" t="n"/>
      <c r="AE13" s="21">
        <f>AD13/AD$37</f>
        <v/>
      </c>
      <c r="AF13" s="22" t="n"/>
      <c r="AG13" s="23">
        <f>AF13/AD13</f>
        <v/>
      </c>
      <c r="AH13" s="20" t="n"/>
      <c r="AI13" s="21">
        <f>AH13/AH$37</f>
        <v/>
      </c>
      <c r="AJ13" s="22" t="n"/>
      <c r="AK13" s="23">
        <f>AJ13/AH13</f>
        <v/>
      </c>
      <c r="AL13" s="20" t="n"/>
      <c r="AM13" s="21">
        <f>AL13/AL$37</f>
        <v/>
      </c>
      <c r="AN13" s="22" t="n"/>
      <c r="AO13" s="23">
        <f>AN13/AL13</f>
        <v/>
      </c>
      <c r="AP13" s="20" t="n"/>
      <c r="AQ13" s="21">
        <f>AP13/AP$37</f>
        <v/>
      </c>
      <c r="AR13" s="24" t="n"/>
      <c r="AS13" s="23" t="n"/>
      <c r="AT13" s="20" t="n"/>
      <c r="AU13" s="21">
        <f>AR13/AR$37</f>
        <v/>
      </c>
      <c r="AV13" s="24" t="n"/>
      <c r="AW13" s="23" t="n"/>
      <c r="AX13" s="20" t="n"/>
      <c r="AY13" s="21">
        <f>AU13/AU$37</f>
        <v/>
      </c>
      <c r="AZ13" s="24" t="n"/>
      <c r="BA13" s="23" t="n"/>
      <c r="BB13" s="20" t="n"/>
      <c r="BC13" s="21">
        <f>BB13/BB$37</f>
        <v/>
      </c>
      <c r="BD13" s="24" t="n"/>
      <c r="BE13" s="23" t="n"/>
      <c r="BF13" s="25">
        <f>SUM(J13+N13+R13+V13+Z13+AD13+AH13+AL13+AP13+AT13+AX13+BB13)</f>
        <v/>
      </c>
      <c r="BG13" s="21">
        <f>BF13/BF$37</f>
        <v/>
      </c>
      <c r="BH13" s="26">
        <f>SUM(BD13+AZ13+AV13+AR13+AN13+AJ13+AF13++AB13+X13+T13+P13+L13)</f>
        <v/>
      </c>
      <c r="BI13" s="27">
        <f>BH13/BF13</f>
        <v/>
      </c>
    </row>
    <row r="14" ht="14.25" customHeight="1" s="62">
      <c r="A14" s="16" t="n">
        <v>5026</v>
      </c>
      <c r="B14" s="17" t="inlineStr">
        <is>
          <t>BONOS DE DESCUENTO HALEON</t>
        </is>
      </c>
      <c r="C14" s="28" t="inlineStr">
        <is>
          <t>HALEON/ Healt care</t>
        </is>
      </c>
      <c r="D14" s="16" t="inlineStr">
        <is>
          <t>SI</t>
        </is>
      </c>
      <c r="E14" s="16" t="inlineStr">
        <is>
          <t>NO</t>
        </is>
      </c>
      <c r="F14" s="17" t="n"/>
      <c r="G14" s="18" t="inlineStr">
        <is>
          <t>Valor fijo por operación</t>
        </is>
      </c>
      <c r="H14" s="18" t="inlineStr">
        <is>
          <t>Fijo. Se ve con Health Care Group</t>
        </is>
      </c>
      <c r="I14" s="19" t="inlineStr">
        <is>
          <t>PRODUCTIVO</t>
        </is>
      </c>
      <c r="J14" s="20" t="n"/>
      <c r="K14" s="21">
        <f>J14/J$37</f>
        <v/>
      </c>
      <c r="L14" s="24" t="n"/>
      <c r="M14" s="23">
        <f>L14/J14</f>
        <v/>
      </c>
      <c r="N14" s="20" t="n"/>
      <c r="O14" s="21">
        <f>N14/N$37</f>
        <v/>
      </c>
      <c r="P14" s="22" t="n">
        <v>871875.5</v>
      </c>
      <c r="Q14" s="23">
        <f>P14/N14</f>
        <v/>
      </c>
      <c r="R14" s="20" t="n"/>
      <c r="S14" s="21">
        <f>R14/R$37</f>
        <v/>
      </c>
      <c r="T14" s="22" t="n"/>
      <c r="U14" s="23">
        <f>T14/R14</f>
        <v/>
      </c>
      <c r="V14" s="20" t="n"/>
      <c r="W14" s="21">
        <f>V14/V$37</f>
        <v/>
      </c>
      <c r="X14" s="22" t="n">
        <v>952203.02</v>
      </c>
      <c r="Y14" s="23">
        <f>X14/V14</f>
        <v/>
      </c>
      <c r="Z14" s="20" t="n"/>
      <c r="AA14" s="21">
        <f>Z14/Z$37</f>
        <v/>
      </c>
      <c r="AB14" s="22" t="n"/>
      <c r="AC14" s="23">
        <f>AB14/Z14</f>
        <v/>
      </c>
      <c r="AD14" s="20" t="n"/>
      <c r="AE14" s="21">
        <f>AD14/AD$37</f>
        <v/>
      </c>
      <c r="AF14" s="22" t="n"/>
      <c r="AG14" s="23">
        <f>AF14/AD14</f>
        <v/>
      </c>
      <c r="AH14" s="20" t="n"/>
      <c r="AI14" s="21">
        <f>AH14/AH$37</f>
        <v/>
      </c>
      <c r="AJ14" s="22" t="n"/>
      <c r="AK14" s="23">
        <f>AJ14/AH14</f>
        <v/>
      </c>
      <c r="AL14" s="20" t="n"/>
      <c r="AM14" s="21">
        <f>AL14/AL$37</f>
        <v/>
      </c>
      <c r="AN14" s="22" t="n"/>
      <c r="AO14" s="23">
        <f>AN14/AL14</f>
        <v/>
      </c>
      <c r="AP14" s="20" t="n"/>
      <c r="AQ14" s="21">
        <f>AP14/AP$37</f>
        <v/>
      </c>
      <c r="AR14" s="24" t="n"/>
      <c r="AS14" s="23" t="n"/>
      <c r="AT14" s="20" t="n"/>
      <c r="AU14" s="21">
        <f>AR14/AR$37</f>
        <v/>
      </c>
      <c r="AV14" s="24" t="n"/>
      <c r="AW14" s="23" t="n"/>
      <c r="AX14" s="20" t="n"/>
      <c r="AY14" s="21">
        <f>AU14/AU$37</f>
        <v/>
      </c>
      <c r="AZ14" s="24" t="n"/>
      <c r="BA14" s="23" t="n"/>
      <c r="BB14" s="20" t="n"/>
      <c r="BC14" s="21">
        <f>BB14/BB$37</f>
        <v/>
      </c>
      <c r="BD14" s="24" t="n"/>
      <c r="BE14" s="23" t="n"/>
      <c r="BF14" s="25">
        <f>SUM(J14+N14+R14+V14+Z14+AD14+AH14+AL14+AP14+AT14+AX14+BB14)</f>
        <v/>
      </c>
      <c r="BG14" s="21">
        <f>BF14/BF$37</f>
        <v/>
      </c>
      <c r="BH14" s="26">
        <f>SUM(BD14+AZ14+AV14+AR14+AN14+AJ14+AF14++AB14+X14+T14+P14+L14)</f>
        <v/>
      </c>
      <c r="BI14" s="27">
        <f>BH14/BF14</f>
        <v/>
      </c>
    </row>
    <row r="15" ht="14.25" customHeight="1" s="62">
      <c r="A15" s="16" t="n">
        <v>5027</v>
      </c>
      <c r="B15" s="17" t="inlineStr">
        <is>
          <t>PROGRAMA VARI TE ACERCA (VARIFARMA)</t>
        </is>
      </c>
      <c r="C15" s="17" t="inlineStr">
        <is>
          <t>VARIFARMA</t>
        </is>
      </c>
      <c r="D15" s="16" t="inlineStr">
        <is>
          <t>NO</t>
        </is>
      </c>
      <c r="E15" s="16" t="inlineStr">
        <is>
          <t>NO</t>
        </is>
      </c>
      <c r="F15" s="17" t="inlineStr">
        <is>
          <t>SI - ETICOS</t>
        </is>
      </c>
      <c r="G15" s="18" t="inlineStr">
        <is>
          <t>ABONO MENSUAL - LIMITE DE TRX 2000</t>
        </is>
      </c>
      <c r="H15" s="17" t="inlineStr">
        <is>
          <t>Trimstral por IPC Indec</t>
        </is>
      </c>
      <c r="I15" s="19" t="inlineStr">
        <is>
          <t>PRODUCTIVO</t>
        </is>
      </c>
      <c r="J15" s="20" t="n">
        <v>7</v>
      </c>
      <c r="K15" s="21">
        <f>J15/J$37</f>
        <v/>
      </c>
      <c r="L15" s="22" t="n">
        <v>518</v>
      </c>
      <c r="M15" s="23" t="n"/>
      <c r="N15" s="20" t="n">
        <v>6</v>
      </c>
      <c r="O15" s="21">
        <f>N15/N$37</f>
        <v/>
      </c>
      <c r="P15" s="22" t="n">
        <v>444</v>
      </c>
      <c r="Q15" s="23" t="n"/>
      <c r="R15" s="20" t="n">
        <v>8</v>
      </c>
      <c r="S15" s="21">
        <f>R15/R$37</f>
        <v/>
      </c>
      <c r="T15" s="22" t="n">
        <v>592</v>
      </c>
      <c r="U15" s="23" t="n"/>
      <c r="V15" s="20" t="n">
        <v>8</v>
      </c>
      <c r="W15" s="21">
        <f>V15/V$37</f>
        <v/>
      </c>
      <c r="X15" s="22" t="n">
        <v>744</v>
      </c>
      <c r="Y15" s="23">
        <f>X15/V15</f>
        <v/>
      </c>
      <c r="Z15" s="20" t="n"/>
      <c r="AA15" s="21">
        <f>Z15/Z$37</f>
        <v/>
      </c>
      <c r="AB15" s="22" t="n"/>
      <c r="AC15" s="23">
        <f>AB15/Z15</f>
        <v/>
      </c>
      <c r="AD15" s="20" t="n"/>
      <c r="AE15" s="21">
        <f>AD15/AD$37</f>
        <v/>
      </c>
      <c r="AF15" s="22" t="n"/>
      <c r="AG15" s="23">
        <f>AF15/AD15</f>
        <v/>
      </c>
      <c r="AH15" s="20" t="n"/>
      <c r="AI15" s="21">
        <f>AH15/AH$37</f>
        <v/>
      </c>
      <c r="AJ15" s="22" t="n"/>
      <c r="AK15" s="23">
        <f>AJ15/AH15</f>
        <v/>
      </c>
      <c r="AL15" s="20" t="n"/>
      <c r="AM15" s="21">
        <f>AL15/AL$37</f>
        <v/>
      </c>
      <c r="AN15" s="22" t="n"/>
      <c r="AO15" s="23">
        <f>AN15/AL15</f>
        <v/>
      </c>
      <c r="AP15" s="20" t="n"/>
      <c r="AQ15" s="21">
        <f>AP15/AP$37</f>
        <v/>
      </c>
      <c r="AR15" s="24" t="n"/>
      <c r="AS15" s="23" t="n"/>
      <c r="AT15" s="20" t="n"/>
      <c r="AU15" s="21">
        <f>AR15/AR$37</f>
        <v/>
      </c>
      <c r="AV15" s="24" t="n"/>
      <c r="AW15" s="23" t="n"/>
      <c r="AX15" s="20" t="n"/>
      <c r="AY15" s="21">
        <f>AU15/AU$37</f>
        <v/>
      </c>
      <c r="AZ15" s="24" t="n"/>
      <c r="BA15" s="23" t="n"/>
      <c r="BB15" s="20" t="n"/>
      <c r="BC15" s="21">
        <f>BB15/BB$37</f>
        <v/>
      </c>
      <c r="BD15" s="24" t="n"/>
      <c r="BE15" s="23" t="n"/>
      <c r="BF15" s="25">
        <f>SUM(J15+N15+R15+V15+Z15+AD15+AH15+AL15+AP15+AT15+AX15+BB15)</f>
        <v/>
      </c>
      <c r="BG15" s="21">
        <f>BF15/BF$37</f>
        <v/>
      </c>
      <c r="BH15" s="26">
        <f>SUM(BD15+AZ15+AV15+AR15+AN15+AJ15+AF15++AB15+X15+T15+P15+L15)</f>
        <v/>
      </c>
      <c r="BI15" s="27">
        <f>BH15/BF15</f>
        <v/>
      </c>
    </row>
    <row r="16" ht="14.25" customHeight="1" s="62">
      <c r="A16" s="16" t="n">
        <v>5028</v>
      </c>
      <c r="B16" s="17" t="inlineStr">
        <is>
          <t>BONOS COLGATE PALMOLIVE</t>
        </is>
      </c>
      <c r="C16" s="28" t="inlineStr">
        <is>
          <t>COLGATE</t>
        </is>
      </c>
      <c r="D16" s="16" t="inlineStr">
        <is>
          <t>SI</t>
        </is>
      </c>
      <c r="E16" s="16" t="inlineStr">
        <is>
          <t>NO</t>
        </is>
      </c>
      <c r="F16" s="17" t="n"/>
      <c r="G16" s="18" t="inlineStr">
        <is>
          <t>Automático por 1,00% PVP</t>
        </is>
      </c>
      <c r="H16" s="18" t="n"/>
      <c r="I16" s="19" t="inlineStr">
        <is>
          <t>PRODUCTIVO</t>
        </is>
      </c>
      <c r="J16" s="20" t="n">
        <v>18127</v>
      </c>
      <c r="K16" s="21">
        <f>J16/J$37</f>
        <v/>
      </c>
      <c r="L16" s="24" t="n">
        <v>1730226.41</v>
      </c>
      <c r="M16" s="23" t="n"/>
      <c r="N16" s="20" t="n"/>
      <c r="O16" s="21">
        <f>N16/N$37</f>
        <v/>
      </c>
      <c r="P16" s="22" t="n"/>
      <c r="Q16" s="23" t="n"/>
      <c r="R16" s="20" t="n">
        <v>23875</v>
      </c>
      <c r="S16" s="21">
        <f>R16/R$37</f>
        <v/>
      </c>
      <c r="T16" s="22" t="n">
        <v>2338884.94</v>
      </c>
      <c r="U16" s="23" t="n"/>
      <c r="V16" s="20" t="n">
        <v>20351</v>
      </c>
      <c r="W16" s="21">
        <f>V16/V$37</f>
        <v/>
      </c>
      <c r="X16" s="22" t="n">
        <v>1876522.43</v>
      </c>
      <c r="Y16" s="23" t="n"/>
      <c r="Z16" s="20" t="n"/>
      <c r="AA16" s="21">
        <f>Z16/Z$37</f>
        <v/>
      </c>
      <c r="AB16" s="22" t="n"/>
      <c r="AC16" s="23" t="n"/>
      <c r="AD16" s="20" t="n"/>
      <c r="AE16" s="21">
        <f>AD16/AD$37</f>
        <v/>
      </c>
      <c r="AF16" s="22" t="n"/>
      <c r="AG16" s="23">
        <f>AF16/AD16</f>
        <v/>
      </c>
      <c r="AH16" s="20" t="n"/>
      <c r="AI16" s="21">
        <f>AH16/AH$37</f>
        <v/>
      </c>
      <c r="AJ16" s="22" t="n"/>
      <c r="AK16" s="23">
        <f>AJ16/AH16</f>
        <v/>
      </c>
      <c r="AL16" s="20" t="n"/>
      <c r="AM16" s="21">
        <f>AL16/AL$37</f>
        <v/>
      </c>
      <c r="AN16" s="22" t="n"/>
      <c r="AO16" s="23">
        <f>AN16/AL16</f>
        <v/>
      </c>
      <c r="AP16" s="20" t="n"/>
      <c r="AQ16" s="21">
        <f>AP16/AP$37</f>
        <v/>
      </c>
      <c r="AR16" s="24" t="n"/>
      <c r="AS16" s="23" t="n"/>
      <c r="AT16" s="20" t="n"/>
      <c r="AU16" s="21">
        <f>AR16/AR$37</f>
        <v/>
      </c>
      <c r="AV16" s="24" t="n"/>
      <c r="AW16" s="23" t="n"/>
      <c r="AX16" s="20" t="n"/>
      <c r="AY16" s="21">
        <f>AU16/AU$37</f>
        <v/>
      </c>
      <c r="AZ16" s="24" t="n"/>
      <c r="BA16" s="23" t="n"/>
      <c r="BB16" s="20" t="n"/>
      <c r="BC16" s="21">
        <f>BB16/BB$37</f>
        <v/>
      </c>
      <c r="BD16" s="24" t="n"/>
      <c r="BE16" s="23" t="n"/>
      <c r="BF16" s="25">
        <f>SUM(J16+N16+R16+V16+Z16+AD16+AH16+AL16+AP16+AT16+AX16+BB16)</f>
        <v/>
      </c>
      <c r="BG16" s="21">
        <f>BF16/BF$37</f>
        <v/>
      </c>
      <c r="BH16" s="26">
        <f>SUM(BD16+AZ16+AV16+AR16+AN16+AJ16+AF16++AB16+X16+T16+P16+L16)</f>
        <v/>
      </c>
      <c r="BI16" s="27" t="n"/>
    </row>
    <row r="17" ht="14.25" customHeight="1" s="62">
      <c r="A17" s="16" t="n">
        <v>5040</v>
      </c>
      <c r="B17" s="17" t="inlineStr">
        <is>
          <t>BONOS PIERRE FABRE - SIDUS DC</t>
        </is>
      </c>
      <c r="C17" s="28" t="inlineStr">
        <is>
          <t>SIDUS DERMO</t>
        </is>
      </c>
      <c r="D17" s="16" t="inlineStr">
        <is>
          <t>SI</t>
        </is>
      </c>
      <c r="E17" s="16" t="inlineStr">
        <is>
          <t>SI</t>
        </is>
      </c>
      <c r="F17" s="17" t="n"/>
      <c r="G17" s="18" t="inlineStr">
        <is>
          <t>Valor fijo por operación</t>
        </is>
      </c>
      <c r="H17" s="18" t="inlineStr">
        <is>
          <t>Mensual por IPC Indec. Valor por TRX</t>
        </is>
      </c>
      <c r="I17" s="19" t="inlineStr">
        <is>
          <t>PRODUCTIVO</t>
        </is>
      </c>
      <c r="J17" s="20" t="n">
        <v>2522</v>
      </c>
      <c r="K17" s="21">
        <f>J17/J$37</f>
        <v/>
      </c>
      <c r="L17" s="22" t="n">
        <v>1282897</v>
      </c>
      <c r="M17" s="23">
        <f>L17/J17</f>
        <v/>
      </c>
      <c r="N17" s="20" t="n">
        <v>2281</v>
      </c>
      <c r="O17" s="21">
        <f>N17/N$37</f>
        <v/>
      </c>
      <c r="P17" s="22" t="n">
        <v>1255491</v>
      </c>
      <c r="Q17" s="23">
        <f>P17/N17</f>
        <v/>
      </c>
      <c r="R17" s="20" t="n">
        <v>2333</v>
      </c>
      <c r="S17" s="21">
        <f>R17/R$37</f>
        <v/>
      </c>
      <c r="T17" s="22" t="n">
        <v>1330813</v>
      </c>
      <c r="U17" s="23">
        <f>T17/R17</f>
        <v/>
      </c>
      <c r="V17" s="20" t="n">
        <v>4879</v>
      </c>
      <c r="W17" s="21">
        <f>V17/V$37</f>
        <v/>
      </c>
      <c r="X17" s="22" t="n">
        <v>2298686.15</v>
      </c>
      <c r="Y17" s="23">
        <f>X17/V17</f>
        <v/>
      </c>
      <c r="Z17" s="20" t="n"/>
      <c r="AA17" s="21">
        <f>Z17/Z$37</f>
        <v/>
      </c>
      <c r="AB17" s="22" t="n"/>
      <c r="AC17" s="23">
        <f>AB17/Z17</f>
        <v/>
      </c>
      <c r="AD17" s="20" t="n"/>
      <c r="AE17" s="21">
        <f>AD17/AD$37</f>
        <v/>
      </c>
      <c r="AF17" s="22" t="n"/>
      <c r="AG17" s="23">
        <f>AF17/AD17</f>
        <v/>
      </c>
      <c r="AH17" s="20" t="n"/>
      <c r="AI17" s="21">
        <f>AH17/AH$37</f>
        <v/>
      </c>
      <c r="AJ17" s="22" t="n"/>
      <c r="AK17" s="23">
        <f>AJ17/AH17</f>
        <v/>
      </c>
      <c r="AL17" s="20" t="n"/>
      <c r="AM17" s="21">
        <f>AL17/AL$37</f>
        <v/>
      </c>
      <c r="AN17" s="22" t="n"/>
      <c r="AO17" s="23">
        <f>AN17/AL17</f>
        <v/>
      </c>
      <c r="AP17" s="20" t="n"/>
      <c r="AQ17" s="21">
        <f>AP17/AP$37</f>
        <v/>
      </c>
      <c r="AR17" s="24" t="n"/>
      <c r="AS17" s="23" t="n"/>
      <c r="AT17" s="20" t="n"/>
      <c r="AU17" s="21">
        <f>AR17/AR$37</f>
        <v/>
      </c>
      <c r="AV17" s="24" t="n"/>
      <c r="AW17" s="23" t="n"/>
      <c r="AX17" s="20" t="n"/>
      <c r="AY17" s="21">
        <f>AU17/AU$37</f>
        <v/>
      </c>
      <c r="AZ17" s="24" t="n"/>
      <c r="BA17" s="23" t="n"/>
      <c r="BB17" s="20" t="n"/>
      <c r="BC17" s="21">
        <f>BB17/BB$37</f>
        <v/>
      </c>
      <c r="BD17" s="24" t="n"/>
      <c r="BE17" s="23" t="n"/>
      <c r="BF17" s="25">
        <f>SUM(J17+N17+R17+V17+Z17+AD17+AH17+AL17+AP17+AT17+AX17+BB17)</f>
        <v/>
      </c>
      <c r="BG17" s="21">
        <f>BF17/BF$37</f>
        <v/>
      </c>
      <c r="BH17" s="26">
        <f>SUM(BD17+AZ17+AV17+AR17+AN17+AJ17+AF17++AB17+X17+T17+P17+L17)</f>
        <v/>
      </c>
      <c r="BI17" s="27">
        <f>BH17/BF17</f>
        <v/>
      </c>
    </row>
    <row r="18" ht="14.25" customHeight="1" s="62">
      <c r="A18" s="16" t="n">
        <v>5041</v>
      </c>
      <c r="B18" s="17" t="inlineStr">
        <is>
          <t>PROGRAMA CONVIDA (SIDUS)</t>
        </is>
      </c>
      <c r="C18" s="28" t="inlineStr">
        <is>
          <t>SIDUS FARMA</t>
        </is>
      </c>
      <c r="D18" s="16" t="inlineStr">
        <is>
          <t>SI</t>
        </is>
      </c>
      <c r="E18" s="16" t="inlineStr">
        <is>
          <t>NO</t>
        </is>
      </c>
      <c r="F18" s="17" t="n"/>
      <c r="G18" s="17" t="inlineStr">
        <is>
          <t>Automático por 1,00% PVP. Con mínimo</t>
        </is>
      </c>
      <c r="H18" s="18" t="n"/>
      <c r="I18" s="19" t="inlineStr">
        <is>
          <t>PRODUCTIVO</t>
        </is>
      </c>
      <c r="J18" s="20" t="n">
        <v>688</v>
      </c>
      <c r="K18" s="21">
        <f>J18/J$37</f>
        <v/>
      </c>
      <c r="L18" s="24" t="n">
        <v>766721.67</v>
      </c>
      <c r="M18" s="23">
        <f>L18/J18</f>
        <v/>
      </c>
      <c r="N18" s="20" t="n"/>
      <c r="O18" s="21">
        <f>N18/N$37</f>
        <v/>
      </c>
      <c r="P18" s="22" t="n"/>
      <c r="Q18" s="23">
        <f>P18/N18</f>
        <v/>
      </c>
      <c r="R18" s="20" t="n">
        <v>615</v>
      </c>
      <c r="S18" s="21">
        <f>R18/R$37</f>
        <v/>
      </c>
      <c r="T18" s="22" t="n">
        <v>766721.67</v>
      </c>
      <c r="U18" s="23">
        <f>T18/R18</f>
        <v/>
      </c>
      <c r="V18" s="20" t="n">
        <v>894</v>
      </c>
      <c r="W18" s="21">
        <f>V18/V$37</f>
        <v/>
      </c>
      <c r="X18" s="22" t="n">
        <v>766721.67</v>
      </c>
      <c r="Y18" s="23">
        <f>X18/V18</f>
        <v/>
      </c>
      <c r="Z18" s="20" t="n"/>
      <c r="AA18" s="21">
        <f>Z18/Z$37</f>
        <v/>
      </c>
      <c r="AB18" s="22" t="n"/>
      <c r="AC18" s="23">
        <f>AB18/Z18</f>
        <v/>
      </c>
      <c r="AD18" s="20" t="n"/>
      <c r="AE18" s="21">
        <f>AD18/AD$37</f>
        <v/>
      </c>
      <c r="AF18" s="22" t="n"/>
      <c r="AG18" s="23">
        <f>AF18/AD18</f>
        <v/>
      </c>
      <c r="AH18" s="20" t="n"/>
      <c r="AI18" s="21">
        <f>AH18/AH$37</f>
        <v/>
      </c>
      <c r="AJ18" s="22" t="n"/>
      <c r="AK18" s="23">
        <f>AJ18/AH18</f>
        <v/>
      </c>
      <c r="AL18" s="20" t="n"/>
      <c r="AM18" s="21">
        <f>AL18/AL$37</f>
        <v/>
      </c>
      <c r="AN18" s="22" t="n"/>
      <c r="AO18" s="23">
        <f>AN18/AL18</f>
        <v/>
      </c>
      <c r="AP18" s="20" t="n"/>
      <c r="AQ18" s="21">
        <f>AP18/AP$37</f>
        <v/>
      </c>
      <c r="AR18" s="24" t="n"/>
      <c r="AS18" s="23" t="n"/>
      <c r="AT18" s="20" t="n"/>
      <c r="AU18" s="21">
        <f>AR18/AR$37</f>
        <v/>
      </c>
      <c r="AV18" s="24" t="n"/>
      <c r="AW18" s="23" t="n"/>
      <c r="AX18" s="20" t="n"/>
      <c r="AY18" s="21">
        <f>AU18/AU$37</f>
        <v/>
      </c>
      <c r="AZ18" s="24" t="n"/>
      <c r="BA18" s="23" t="n"/>
      <c r="BB18" s="20" t="n"/>
      <c r="BC18" s="21">
        <f>BB18/BB$37</f>
        <v/>
      </c>
      <c r="BD18" s="24" t="n"/>
      <c r="BE18" s="23" t="n"/>
      <c r="BF18" s="25">
        <f>SUM(J18+N18+R18+V18+Z18+AD18+AH18+AL18+AP18+AT18+AX18+BB18)</f>
        <v/>
      </c>
      <c r="BG18" s="21">
        <f>BF18/BF$37</f>
        <v/>
      </c>
      <c r="BH18" s="26">
        <f>SUM(BD18+AZ18+AV18+AR18+AN18+AJ18+AF18++AB18+X18+T18+P18+L18)</f>
        <v/>
      </c>
      <c r="BI18" s="27">
        <f>BH18/BF18</f>
        <v/>
      </c>
    </row>
    <row r="19" ht="14.25" customHeight="1" s="62">
      <c r="A19" s="16" t="n">
        <v>5050</v>
      </c>
      <c r="B19" s="17" t="inlineStr">
        <is>
          <t>BONOS ANDROMACO</t>
        </is>
      </c>
      <c r="C19" s="17" t="inlineStr">
        <is>
          <t>ANDROMACO</t>
        </is>
      </c>
      <c r="D19" s="16" t="inlineStr">
        <is>
          <t>NO</t>
        </is>
      </c>
      <c r="E19" s="16" t="inlineStr">
        <is>
          <t>NO</t>
        </is>
      </c>
      <c r="F19" s="17" t="inlineStr">
        <is>
          <t>SI - DINAMICAS - BONOS</t>
        </is>
      </c>
      <c r="G19" s="18" t="inlineStr">
        <is>
          <t>Bono hasta 25.000 trx $74.81 Después $63.91 - Dínamicas hasta 50.000 trx $47.09 Después $40.49</t>
        </is>
      </c>
      <c r="H19" s="17" t="inlineStr">
        <is>
          <t>Trimstral por IPC Indec</t>
        </is>
      </c>
      <c r="I19" s="19" t="inlineStr">
        <is>
          <t>PRODUCTIVO</t>
        </is>
      </c>
      <c r="J19" s="20" t="n">
        <v>554837</v>
      </c>
      <c r="K19" s="21">
        <f>J19/J$37</f>
        <v/>
      </c>
      <c r="L19" s="24" t="n">
        <v>41057938</v>
      </c>
      <c r="M19" s="23">
        <f>L19/J19</f>
        <v/>
      </c>
      <c r="N19" s="20" t="n">
        <v>336212</v>
      </c>
      <c r="O19" s="21">
        <f>N19/N$37</f>
        <v/>
      </c>
      <c r="P19" s="22" t="n">
        <v>24879688</v>
      </c>
      <c r="Q19" s="23">
        <f>P19/N19</f>
        <v/>
      </c>
      <c r="R19" s="20" t="n">
        <v>274190</v>
      </c>
      <c r="S19" s="21">
        <f>R19/R$37</f>
        <v/>
      </c>
      <c r="T19" s="22" t="n">
        <v>20290060</v>
      </c>
      <c r="U19" s="23">
        <f>T19/R19</f>
        <v/>
      </c>
      <c r="V19" s="20" t="n">
        <v>260641</v>
      </c>
      <c r="W19" s="21">
        <f>V19/V$37</f>
        <v/>
      </c>
      <c r="X19" s="22" t="n">
        <v>24239613</v>
      </c>
      <c r="Y19" s="23">
        <f>X19/V19</f>
        <v/>
      </c>
      <c r="Z19" s="20" t="n"/>
      <c r="AA19" s="21">
        <f>Z19/Z$37</f>
        <v/>
      </c>
      <c r="AB19" s="22" t="n"/>
      <c r="AC19" s="23">
        <f>AB19/Z19</f>
        <v/>
      </c>
      <c r="AD19" s="20" t="n"/>
      <c r="AE19" s="21">
        <f>AD19/AD$37</f>
        <v/>
      </c>
      <c r="AF19" s="22" t="n"/>
      <c r="AG19" s="23">
        <f>AF19/AD19</f>
        <v/>
      </c>
      <c r="AH19" s="20" t="n"/>
      <c r="AI19" s="21">
        <f>AH19/AH$37</f>
        <v/>
      </c>
      <c r="AJ19" s="22" t="n"/>
      <c r="AK19" s="23">
        <f>AJ19/AH19</f>
        <v/>
      </c>
      <c r="AL19" s="20" t="n"/>
      <c r="AM19" s="21">
        <f>AL19/AL$37</f>
        <v/>
      </c>
      <c r="AN19" s="22" t="n"/>
      <c r="AO19" s="23">
        <f>AN19/AL19</f>
        <v/>
      </c>
      <c r="AP19" s="20" t="n"/>
      <c r="AQ19" s="21">
        <f>AP19/AP$37</f>
        <v/>
      </c>
      <c r="AR19" s="24" t="n"/>
      <c r="AS19" s="23" t="n"/>
      <c r="AT19" s="20" t="n"/>
      <c r="AU19" s="21">
        <f>AR19/AR$37</f>
        <v/>
      </c>
      <c r="AV19" s="24" t="n"/>
      <c r="AW19" s="23" t="n"/>
      <c r="AX19" s="20" t="n"/>
      <c r="AY19" s="21">
        <f>AU19/AU$37</f>
        <v/>
      </c>
      <c r="AZ19" s="24" t="n"/>
      <c r="BA19" s="23" t="n"/>
      <c r="BB19" s="20" t="n"/>
      <c r="BC19" s="21">
        <f>BB19/BB$37</f>
        <v/>
      </c>
      <c r="BD19" s="24" t="n"/>
      <c r="BE19" s="23" t="n"/>
      <c r="BF19" s="25">
        <f>SUM(J19+N19+R19+V19+Z19+AD19+AH19+AL19+AP19+AT19+AX19+BB19)</f>
        <v/>
      </c>
      <c r="BG19" s="21">
        <f>BF19/BF$37</f>
        <v/>
      </c>
      <c r="BH19" s="26">
        <f>SUM(BD19+AZ19+AV19+AR19+AN19+AJ19+AF19++AB19+X19+T19+P19+L19)</f>
        <v/>
      </c>
      <c r="BI19" s="27">
        <f>BH19/BF19</f>
        <v/>
      </c>
    </row>
    <row r="20" ht="14.25" customHeight="1" s="62">
      <c r="A20" s="16" t="n">
        <v>5060</v>
      </c>
      <c r="B20" s="17" t="inlineStr">
        <is>
          <t>BONOS ISDIN</t>
        </is>
      </c>
      <c r="C20" s="17" t="inlineStr">
        <is>
          <t>ISDIN</t>
        </is>
      </c>
      <c r="D20" s="16" t="inlineStr">
        <is>
          <t>NO</t>
        </is>
      </c>
      <c r="E20" s="16" t="inlineStr">
        <is>
          <t>NO</t>
        </is>
      </c>
      <c r="F20" s="17" t="inlineStr">
        <is>
          <t>SI - DINAMICAS - BONOS</t>
        </is>
      </c>
      <c r="G20" s="18" t="inlineStr">
        <is>
          <t>Bono hasta 25.000 trx $74.81 Después $63.91 - Dínamicas hasta 50.000 trx $47.09 Después $40.49</t>
        </is>
      </c>
      <c r="H20" s="17" t="inlineStr">
        <is>
          <t>Trimstral por IPC Indec</t>
        </is>
      </c>
      <c r="I20" s="19" t="inlineStr">
        <is>
          <t>PRODUCTIVO</t>
        </is>
      </c>
      <c r="J20" s="20" t="n">
        <v>40175</v>
      </c>
      <c r="K20" s="21">
        <f>J20/J$37</f>
        <v/>
      </c>
      <c r="L20" s="24" t="n">
        <v>2972950</v>
      </c>
      <c r="M20" s="23">
        <f>L20/J20</f>
        <v/>
      </c>
      <c r="N20" s="20" t="n">
        <v>25065</v>
      </c>
      <c r="O20" s="21">
        <f>N20/N$37</f>
        <v/>
      </c>
      <c r="P20" s="22" t="n">
        <v>1854810</v>
      </c>
      <c r="Q20" s="23">
        <f>P20/N20</f>
        <v/>
      </c>
      <c r="R20" s="20" t="n">
        <v>21680</v>
      </c>
      <c r="S20" s="21">
        <f>R20/R$37</f>
        <v/>
      </c>
      <c r="T20" s="22" t="n">
        <v>1604320</v>
      </c>
      <c r="U20" s="23">
        <f>T20/R20</f>
        <v/>
      </c>
      <c r="V20" s="20" t="n">
        <v>18937</v>
      </c>
      <c r="W20" s="21">
        <f>V20/V$37</f>
        <v/>
      </c>
      <c r="X20" s="22" t="n">
        <v>1761141</v>
      </c>
      <c r="Y20" s="23">
        <f>X20/V20</f>
        <v/>
      </c>
      <c r="Z20" s="20" t="n"/>
      <c r="AA20" s="21">
        <f>Z20/Z$37</f>
        <v/>
      </c>
      <c r="AB20" s="22" t="n"/>
      <c r="AC20" s="23">
        <f>AB20/Z20</f>
        <v/>
      </c>
      <c r="AD20" s="20" t="n"/>
      <c r="AE20" s="21">
        <f>AD20/AD$37</f>
        <v/>
      </c>
      <c r="AF20" s="22" t="n"/>
      <c r="AG20" s="23">
        <f>AF20/AD20</f>
        <v/>
      </c>
      <c r="AH20" s="20" t="n"/>
      <c r="AI20" s="21">
        <f>AH20/AH$37</f>
        <v/>
      </c>
      <c r="AJ20" s="22" t="n"/>
      <c r="AK20" s="23">
        <f>AJ20/AH20</f>
        <v/>
      </c>
      <c r="AL20" s="20" t="n"/>
      <c r="AM20" s="21">
        <f>AL20/AL$37</f>
        <v/>
      </c>
      <c r="AN20" s="22" t="n"/>
      <c r="AO20" s="23">
        <f>AN20/AL20</f>
        <v/>
      </c>
      <c r="AP20" s="20" t="n"/>
      <c r="AQ20" s="21">
        <f>AP20/AP$37</f>
        <v/>
      </c>
      <c r="AR20" s="24" t="n"/>
      <c r="AS20" s="23" t="n"/>
      <c r="AT20" s="20" t="n"/>
      <c r="AU20" s="21">
        <f>AR20/AR$37</f>
        <v/>
      </c>
      <c r="AV20" s="24" t="n"/>
      <c r="AW20" s="23" t="n"/>
      <c r="AX20" s="20" t="n"/>
      <c r="AY20" s="21">
        <f>AU20/AU$37</f>
        <v/>
      </c>
      <c r="AZ20" s="24" t="n"/>
      <c r="BA20" s="23" t="n"/>
      <c r="BB20" s="20" t="n"/>
      <c r="BC20" s="21">
        <f>BB20/BB$37</f>
        <v/>
      </c>
      <c r="BD20" s="24" t="n"/>
      <c r="BE20" s="23" t="n"/>
      <c r="BF20" s="25">
        <f>SUM(J20+N20+R20+V20+Z20+AD20+AH20+AL20+AP20+AT20+AX20+BB20)</f>
        <v/>
      </c>
      <c r="BG20" s="21">
        <f>BF20/BF$37</f>
        <v/>
      </c>
      <c r="BH20" s="26">
        <f>SUM(BD20+AZ20+AV20+AR20+AN20+AJ20+AF20++AB20+X20+T20+P20+L20)</f>
        <v/>
      </c>
      <c r="BI20" s="27">
        <f>BH20/BF20</f>
        <v/>
      </c>
    </row>
    <row r="21" ht="14.25" customHeight="1" s="62">
      <c r="A21" s="16" t="n">
        <v>5070</v>
      </c>
      <c r="B21" s="17" t="inlineStr">
        <is>
          <t>BONOS BIU COSMECEUTICALS</t>
        </is>
      </c>
      <c r="C21" s="28" t="inlineStr">
        <is>
          <t>BIU / unyc</t>
        </is>
      </c>
      <c r="D21" s="16" t="inlineStr">
        <is>
          <t>SI</t>
        </is>
      </c>
      <c r="E21" s="16" t="inlineStr">
        <is>
          <t>SI</t>
        </is>
      </c>
      <c r="F21" s="17" t="n"/>
      <c r="G21" s="18" t="inlineStr">
        <is>
          <t>Valor fijo por operación</t>
        </is>
      </c>
      <c r="H21" s="18" t="inlineStr">
        <is>
          <t>Trimestral por IPC CABA</t>
        </is>
      </c>
      <c r="I21" s="19" t="inlineStr">
        <is>
          <t>PRODUCTIVO</t>
        </is>
      </c>
      <c r="J21" s="20" t="n">
        <v>22</v>
      </c>
      <c r="K21" s="21">
        <f>J21/J$37</f>
        <v/>
      </c>
      <c r="L21" s="22" t="n">
        <v>1628</v>
      </c>
      <c r="M21" s="23">
        <f>L21/J21</f>
        <v/>
      </c>
      <c r="N21" s="20" t="n">
        <v>20</v>
      </c>
      <c r="O21" s="21">
        <f>N21/N$37</f>
        <v/>
      </c>
      <c r="P21" s="22" t="n">
        <v>1480</v>
      </c>
      <c r="Q21" s="23">
        <f>P21/N21</f>
        <v/>
      </c>
      <c r="R21" s="20" t="n">
        <v>21</v>
      </c>
      <c r="S21" s="21">
        <f>R21/R$37</f>
        <v/>
      </c>
      <c r="T21" s="22" t="n">
        <v>1554</v>
      </c>
      <c r="U21" s="23">
        <f>T21/R21</f>
        <v/>
      </c>
      <c r="V21" s="20" t="n">
        <v>9</v>
      </c>
      <c r="W21" s="21">
        <f>V21/V$37</f>
        <v/>
      </c>
      <c r="X21" s="22" t="n">
        <v>837</v>
      </c>
      <c r="Y21" s="23">
        <f>X21/V21</f>
        <v/>
      </c>
      <c r="Z21" s="20" t="n"/>
      <c r="AA21" s="21">
        <f>Z21/Z$37</f>
        <v/>
      </c>
      <c r="AB21" s="22" t="n"/>
      <c r="AC21" s="23">
        <f>AB21/Z21</f>
        <v/>
      </c>
      <c r="AD21" s="20" t="n"/>
      <c r="AE21" s="21">
        <f>AD21/AD$37</f>
        <v/>
      </c>
      <c r="AF21" s="22" t="n"/>
      <c r="AG21" s="23">
        <f>AF21/AD21</f>
        <v/>
      </c>
      <c r="AH21" s="20" t="n"/>
      <c r="AI21" s="21">
        <f>AH21/AH$37</f>
        <v/>
      </c>
      <c r="AJ21" s="22" t="n"/>
      <c r="AK21" s="23">
        <f>AJ21/AH21</f>
        <v/>
      </c>
      <c r="AL21" s="20" t="n"/>
      <c r="AM21" s="21">
        <f>AL21/AL$37</f>
        <v/>
      </c>
      <c r="AN21" s="22" t="n"/>
      <c r="AO21" s="23">
        <f>AN21/AL21</f>
        <v/>
      </c>
      <c r="AP21" s="20" t="n"/>
      <c r="AQ21" s="21">
        <f>AP21/AP$37</f>
        <v/>
      </c>
      <c r="AR21" s="24" t="n"/>
      <c r="AS21" s="23" t="n"/>
      <c r="AT21" s="20" t="n"/>
      <c r="AU21" s="21">
        <f>AR21/AR$37</f>
        <v/>
      </c>
      <c r="AV21" s="24" t="n"/>
      <c r="AW21" s="23" t="n"/>
      <c r="AX21" s="20" t="n"/>
      <c r="AY21" s="21">
        <f>AU21/AU$37</f>
        <v/>
      </c>
      <c r="AZ21" s="24" t="n"/>
      <c r="BA21" s="23" t="n"/>
      <c r="BB21" s="20" t="n"/>
      <c r="BC21" s="21">
        <f>BB21/BB$37</f>
        <v/>
      </c>
      <c r="BD21" s="24" t="n"/>
      <c r="BE21" s="23" t="n"/>
      <c r="BF21" s="25">
        <f>SUM(J21+N21+R21+V21+Z21+AD21+AH21+AL21+AP21+AT21+AX21+BB21)</f>
        <v/>
      </c>
      <c r="BG21" s="21">
        <f>BF21/BF$37</f>
        <v/>
      </c>
      <c r="BH21" s="26">
        <f>SUM(BD21+AZ21+AV21+AR21+AN21+AJ21+AF21++AB21+X21+T21+P21+L21)</f>
        <v/>
      </c>
      <c r="BI21" s="27">
        <f>BH21/BF21</f>
        <v/>
      </c>
    </row>
    <row r="22" ht="14.25" customHeight="1" s="62">
      <c r="A22" s="16" t="n">
        <v>5080</v>
      </c>
      <c r="B22" s="17" t="inlineStr">
        <is>
          <t>BONOS PANALAB DIGITAL</t>
        </is>
      </c>
      <c r="C22" s="17" t="inlineStr">
        <is>
          <t>PANALAB</t>
        </is>
      </c>
      <c r="D22" s="16" t="inlineStr">
        <is>
          <t>SI</t>
        </is>
      </c>
      <c r="E22" s="16" t="inlineStr">
        <is>
          <t>SI</t>
        </is>
      </c>
      <c r="F22" s="17" t="n"/>
      <c r="G22" s="18" t="inlineStr">
        <is>
          <t xml:space="preserve"> On line 0,6% PVP + servicio</t>
        </is>
      </c>
      <c r="I22" s="19" t="inlineStr">
        <is>
          <t>PRODUCTIVO</t>
        </is>
      </c>
      <c r="J22" s="20" t="n">
        <v>4196</v>
      </c>
      <c r="K22" s="21">
        <f>J22/J$37</f>
        <v/>
      </c>
      <c r="L22" s="22" t="n">
        <v>7099101</v>
      </c>
      <c r="M22" s="23">
        <f>L22/(J23+J22)</f>
        <v/>
      </c>
      <c r="N22" s="20" t="n">
        <v>3565</v>
      </c>
      <c r="O22" s="21">
        <f>N22/N$37</f>
        <v/>
      </c>
      <c r="P22" s="22" t="n">
        <v>6836393</v>
      </c>
      <c r="Q22" s="23">
        <f>P22/(N23+N22)</f>
        <v/>
      </c>
      <c r="R22" s="20" t="n">
        <v>4586</v>
      </c>
      <c r="S22" s="21">
        <f>R22/R$37</f>
        <v/>
      </c>
      <c r="T22" s="22" t="n">
        <v>8378215</v>
      </c>
      <c r="U22" s="23">
        <f>T22/(R23+R22)</f>
        <v/>
      </c>
      <c r="V22" s="20" t="n">
        <v>4586</v>
      </c>
      <c r="W22" s="21">
        <f>V22/V$37</f>
        <v/>
      </c>
      <c r="X22" s="22" t="n">
        <v>9065584</v>
      </c>
      <c r="Y22" s="23">
        <f>X22/(V23+V22)</f>
        <v/>
      </c>
      <c r="Z22" s="20" t="n"/>
      <c r="AA22" s="21">
        <f>Z22/Z$37</f>
        <v/>
      </c>
      <c r="AB22" s="22" t="n"/>
      <c r="AC22" s="23">
        <f>AB22/(Z23+Z22)</f>
        <v/>
      </c>
      <c r="AD22" s="20" t="n"/>
      <c r="AE22" s="21">
        <f>AD22/AD$37</f>
        <v/>
      </c>
      <c r="AF22" s="22" t="n"/>
      <c r="AG22" s="23">
        <f>AF22/(AD23+AD22)</f>
        <v/>
      </c>
      <c r="AH22" s="20" t="n"/>
      <c r="AI22" s="21">
        <f>AH22/AH$37</f>
        <v/>
      </c>
      <c r="AJ22" s="22" t="n"/>
      <c r="AK22" s="23">
        <f>AJ22/(AH23+AH22)</f>
        <v/>
      </c>
      <c r="AL22" s="20" t="n"/>
      <c r="AM22" s="21">
        <f>AL22/AL$37</f>
        <v/>
      </c>
      <c r="AN22" s="22" t="n"/>
      <c r="AO22" s="23">
        <f>AN22/(AL23+AL22)</f>
        <v/>
      </c>
      <c r="AP22" s="20" t="n"/>
      <c r="AQ22" s="21">
        <f>AP22/AP$37</f>
        <v/>
      </c>
      <c r="AR22" s="24" t="n"/>
      <c r="AS22" s="23" t="n"/>
      <c r="AT22" s="20" t="n"/>
      <c r="AU22" s="21">
        <f>AR22/AR$37</f>
        <v/>
      </c>
      <c r="AV22" s="24" t="n"/>
      <c r="AW22" s="23" t="n"/>
      <c r="AX22" s="20" t="n"/>
      <c r="AY22" s="21">
        <f>AU22/AU$37</f>
        <v/>
      </c>
      <c r="AZ22" s="24" t="n"/>
      <c r="BA22" s="23" t="n"/>
      <c r="BB22" s="20" t="n"/>
      <c r="BC22" s="21">
        <f>BB22/BB$37</f>
        <v/>
      </c>
      <c r="BD22" s="24" t="n"/>
      <c r="BE22" s="23" t="n"/>
      <c r="BF22" s="25">
        <f>SUM(J22+N22+R22+V22+Z22+AD22+AH22+AL22+AP22+AT22+AX22+BB22)</f>
        <v/>
      </c>
      <c r="BG22" s="21">
        <f>BF22/BF$37</f>
        <v/>
      </c>
      <c r="BH22" s="26">
        <f>SUM(BD22+AZ22+AV22+AR22+AN22+AJ22+AF22++AB22+X22+T22+P22+L22)</f>
        <v/>
      </c>
      <c r="BI22" s="27">
        <f>BH22/BF22</f>
        <v/>
      </c>
    </row>
    <row r="23" ht="14.25" customHeight="1" s="62">
      <c r="A23" s="16" t="n">
        <v>5081</v>
      </c>
      <c r="B23" s="17" t="inlineStr">
        <is>
          <t>BONOS PANALAB PAPEL ON LINE</t>
        </is>
      </c>
      <c r="C23" s="17" t="inlineStr">
        <is>
          <t>PANALAB</t>
        </is>
      </c>
      <c r="D23" s="16" t="inlineStr">
        <is>
          <t>SI</t>
        </is>
      </c>
      <c r="E23" s="16" t="inlineStr">
        <is>
          <t>NO</t>
        </is>
      </c>
      <c r="F23" s="17" t="n"/>
      <c r="G23" s="18" t="inlineStr">
        <is>
          <t xml:space="preserve"> On line 0,4% PVP</t>
        </is>
      </c>
      <c r="H23" s="18" t="n"/>
      <c r="I23" s="19" t="inlineStr">
        <is>
          <t>PRODUCTIVO</t>
        </is>
      </c>
      <c r="J23" s="20" t="n"/>
      <c r="K23" s="21">
        <f>J23/J$37</f>
        <v/>
      </c>
      <c r="L23" s="24" t="n"/>
      <c r="M23" s="23" t="n"/>
      <c r="N23" s="20" t="n"/>
      <c r="O23" s="21">
        <f>N23/N$37</f>
        <v/>
      </c>
      <c r="P23" s="22" t="n"/>
      <c r="Q23" s="23">
        <f>P23/N23</f>
        <v/>
      </c>
      <c r="R23" s="20" t="n"/>
      <c r="S23" s="21">
        <f>R23/R$37</f>
        <v/>
      </c>
      <c r="T23" s="22" t="n"/>
      <c r="U23" s="23">
        <f>T23/R23</f>
        <v/>
      </c>
      <c r="V23" s="20" t="n"/>
      <c r="W23" s="21">
        <f>V23/V$37</f>
        <v/>
      </c>
      <c r="X23" s="22" t="n"/>
      <c r="Y23" s="23">
        <f>X23/V23</f>
        <v/>
      </c>
      <c r="Z23" s="20" t="n"/>
      <c r="AA23" s="21">
        <f>Z23/Z$37</f>
        <v/>
      </c>
      <c r="AB23" s="22" t="n"/>
      <c r="AC23" s="23">
        <f>AB23/Z23</f>
        <v/>
      </c>
      <c r="AD23" s="20" t="n"/>
      <c r="AE23" s="21">
        <f>AD23/AD$37</f>
        <v/>
      </c>
      <c r="AF23" s="22" t="n"/>
      <c r="AG23" s="23">
        <f>AF23/AD23</f>
        <v/>
      </c>
      <c r="AH23" s="20" t="n"/>
      <c r="AI23" s="21">
        <f>AH23/AH$37</f>
        <v/>
      </c>
      <c r="AJ23" s="22" t="n"/>
      <c r="AK23" s="23">
        <f>AJ23/AH23</f>
        <v/>
      </c>
      <c r="AL23" s="20" t="n"/>
      <c r="AM23" s="21">
        <f>AL23/AL$37</f>
        <v/>
      </c>
      <c r="AN23" s="22" t="n"/>
      <c r="AO23" s="23">
        <f>AN23/AL23</f>
        <v/>
      </c>
      <c r="AP23" s="20" t="n"/>
      <c r="AQ23" s="21">
        <f>AP23/AP$37</f>
        <v/>
      </c>
      <c r="AR23" s="24" t="n"/>
      <c r="AS23" s="23" t="n"/>
      <c r="AT23" s="20" t="n"/>
      <c r="AU23" s="21">
        <f>AR23/AR$37</f>
        <v/>
      </c>
      <c r="AV23" s="24" t="n"/>
      <c r="AW23" s="23" t="n"/>
      <c r="AX23" s="20" t="n"/>
      <c r="AY23" s="21">
        <f>AU23/AU$37</f>
        <v/>
      </c>
      <c r="AZ23" s="24" t="n"/>
      <c r="BA23" s="23" t="n"/>
      <c r="BB23" s="20" t="n"/>
      <c r="BC23" s="21">
        <f>BB23/BB$37</f>
        <v/>
      </c>
      <c r="BD23" s="24" t="n"/>
      <c r="BE23" s="23" t="n"/>
      <c r="BF23" s="25">
        <f>SUM(J23+N23+R23+V23+Z23+AD23+AH23+AL23+AP23+AT23+AX23+BB23)</f>
        <v/>
      </c>
      <c r="BG23" s="21">
        <f>BF23/BF$37</f>
        <v/>
      </c>
      <c r="BH23" s="26" t="n"/>
      <c r="BI23" s="27" t="n"/>
    </row>
    <row r="24" ht="14.25" customHeight="1" s="62">
      <c r="A24" s="16" t="n">
        <v>5090</v>
      </c>
      <c r="B24" s="17" t="inlineStr">
        <is>
          <t>BONOS GALDERMA</t>
        </is>
      </c>
      <c r="C24" s="17" t="inlineStr">
        <is>
          <t>GALDERMA</t>
        </is>
      </c>
      <c r="D24" s="16" t="inlineStr">
        <is>
          <t>NO</t>
        </is>
      </c>
      <c r="E24" s="16" t="inlineStr">
        <is>
          <t>NO</t>
        </is>
      </c>
      <c r="F24" s="17" t="inlineStr">
        <is>
          <t>SI - DINAMICAS - BONOS</t>
        </is>
      </c>
      <c r="G24" s="18" t="inlineStr">
        <is>
          <t>Bono hasta 25.000 trx $74.81 Después $63.91 - Dínamicas hasta 50.000 trx $47.09 Después $40.49</t>
        </is>
      </c>
      <c r="H24" s="17" t="inlineStr">
        <is>
          <t>Trimstral por IPC Indec</t>
        </is>
      </c>
      <c r="I24" s="19" t="inlineStr">
        <is>
          <t>PRODUCTIVO</t>
        </is>
      </c>
      <c r="J24" s="20" t="n">
        <v>10966</v>
      </c>
      <c r="K24" s="21">
        <f>J24/J$37</f>
        <v/>
      </c>
      <c r="L24" s="24" t="n">
        <v>811484</v>
      </c>
      <c r="M24" s="23">
        <f>L24/J24</f>
        <v/>
      </c>
      <c r="N24" s="20" t="n">
        <v>7941</v>
      </c>
      <c r="O24" s="21">
        <f>N24/N$37</f>
        <v/>
      </c>
      <c r="P24" s="22" t="n">
        <v>587634</v>
      </c>
      <c r="Q24" s="23">
        <f>P24/N24</f>
        <v/>
      </c>
      <c r="R24" s="20" t="n">
        <v>10088</v>
      </c>
      <c r="S24" s="21">
        <f>R24/R$37</f>
        <v/>
      </c>
      <c r="T24" s="22" t="n">
        <v>746512</v>
      </c>
      <c r="U24" s="23">
        <f>T24/R24</f>
        <v/>
      </c>
      <c r="V24" s="20" t="n">
        <v>9934</v>
      </c>
      <c r="W24" s="21">
        <f>V24/V$37</f>
        <v/>
      </c>
      <c r="X24" s="22" t="n">
        <v>923862</v>
      </c>
      <c r="Y24" s="23">
        <f>X24/V24</f>
        <v/>
      </c>
      <c r="Z24" s="20" t="n"/>
      <c r="AA24" s="21">
        <f>Z24/Z$37</f>
        <v/>
      </c>
      <c r="AB24" s="22" t="n"/>
      <c r="AC24" s="23">
        <f>AB24/Z24</f>
        <v/>
      </c>
      <c r="AD24" s="20" t="n"/>
      <c r="AE24" s="21">
        <f>AD24/AD$37</f>
        <v/>
      </c>
      <c r="AF24" s="22" t="n"/>
      <c r="AG24" s="23">
        <f>AF24/AD24</f>
        <v/>
      </c>
      <c r="AH24" s="20" t="n"/>
      <c r="AI24" s="21">
        <f>AH24/AH$37</f>
        <v/>
      </c>
      <c r="AJ24" s="22" t="n"/>
      <c r="AK24" s="23">
        <f>AJ24/AH24</f>
        <v/>
      </c>
      <c r="AL24" s="20" t="n"/>
      <c r="AM24" s="21">
        <f>AL24/AL$37</f>
        <v/>
      </c>
      <c r="AN24" s="22" t="n"/>
      <c r="AO24" s="23">
        <f>AN24/AL24</f>
        <v/>
      </c>
      <c r="AP24" s="20" t="n"/>
      <c r="AQ24" s="21">
        <f>AP24/AP$37</f>
        <v/>
      </c>
      <c r="AR24" s="24" t="n"/>
      <c r="AS24" s="23" t="n"/>
      <c r="AT24" s="20" t="n"/>
      <c r="AU24" s="21">
        <f>AR24/AR$37</f>
        <v/>
      </c>
      <c r="AV24" s="24" t="n"/>
      <c r="AW24" s="23" t="n"/>
      <c r="AX24" s="20" t="n"/>
      <c r="AY24" s="21">
        <f>AU24/AU$37</f>
        <v/>
      </c>
      <c r="AZ24" s="24" t="n"/>
      <c r="BA24" s="23" t="n"/>
      <c r="BB24" s="20" t="n"/>
      <c r="BC24" s="21">
        <f>BB24/BB$37</f>
        <v/>
      </c>
      <c r="BD24" s="24" t="n"/>
      <c r="BE24" s="23" t="n"/>
      <c r="BF24" s="25">
        <f>SUM(J24+N24+R24+V24+Z24+AD24+AH24+AL24+AP24+AT24+AX24+BB24)</f>
        <v/>
      </c>
      <c r="BG24" s="21">
        <f>BF24/BF$37</f>
        <v/>
      </c>
      <c r="BH24" s="26">
        <f>SUM(BD24+AZ24+AV24+AR24+AN24+AJ24+AF24++AB24+X24+T24+P24+L24)</f>
        <v/>
      </c>
      <c r="BI24" s="27">
        <f>BH24/(BF23)</f>
        <v/>
      </c>
    </row>
    <row r="25" ht="14.25" customHeight="1" s="62">
      <c r="A25" s="16" t="n">
        <v>5100</v>
      </c>
      <c r="B25" s="17" t="inlineStr">
        <is>
          <t>BONOS BERNABO</t>
        </is>
      </c>
      <c r="C25" s="17" t="inlineStr">
        <is>
          <t>BERNABO</t>
        </is>
      </c>
      <c r="D25" s="16" t="inlineStr">
        <is>
          <t>NO</t>
        </is>
      </c>
      <c r="E25" s="16" t="inlineStr">
        <is>
          <t>NO</t>
        </is>
      </c>
      <c r="F25" s="17" t="inlineStr">
        <is>
          <t>SI - DINAMICAS - BONOS</t>
        </is>
      </c>
      <c r="G25" s="18" t="inlineStr">
        <is>
          <t>Bono hasta 25.000 trx $74.81 Después $63.91 - Dínamicas hasta 50.000 trx $47.09 Después $40.49</t>
        </is>
      </c>
      <c r="H25" s="17" t="inlineStr">
        <is>
          <t>Trimstral por IPC Indec</t>
        </is>
      </c>
      <c r="I25" s="19" t="inlineStr">
        <is>
          <t>PRODUCTIVO</t>
        </is>
      </c>
      <c r="J25" s="20" t="n">
        <v>4458</v>
      </c>
      <c r="K25" s="21">
        <f>J25/J$37</f>
        <v/>
      </c>
      <c r="L25" s="24" t="n">
        <v>329892</v>
      </c>
      <c r="M25" s="23">
        <f>L25/J25</f>
        <v/>
      </c>
      <c r="N25" s="20" t="n">
        <v>4207</v>
      </c>
      <c r="O25" s="21">
        <f>N25/N$37</f>
        <v/>
      </c>
      <c r="P25" s="22" t="n">
        <v>311318</v>
      </c>
      <c r="Q25" s="23">
        <f>P25/N25</f>
        <v/>
      </c>
      <c r="R25" s="20" t="n">
        <v>4609</v>
      </c>
      <c r="S25" s="21">
        <f>R25/R$37</f>
        <v/>
      </c>
      <c r="T25" s="22" t="n">
        <v>341066</v>
      </c>
      <c r="U25" s="23">
        <f>T25/R25</f>
        <v/>
      </c>
      <c r="V25" s="20" t="n">
        <v>4464</v>
      </c>
      <c r="W25" s="21">
        <f>V25/V$37</f>
        <v/>
      </c>
      <c r="X25" s="22" t="n">
        <v>415152</v>
      </c>
      <c r="Y25" s="23">
        <f>X25/V25</f>
        <v/>
      </c>
      <c r="Z25" s="20" t="n"/>
      <c r="AA25" s="21">
        <f>Z25/Z$37</f>
        <v/>
      </c>
      <c r="AB25" s="22" t="n"/>
      <c r="AC25" s="23">
        <f>AB25/Z25</f>
        <v/>
      </c>
      <c r="AD25" s="20" t="n"/>
      <c r="AE25" s="21">
        <f>AD25/AD$37</f>
        <v/>
      </c>
      <c r="AF25" s="22" t="n"/>
      <c r="AG25" s="23">
        <f>AF25/AD25</f>
        <v/>
      </c>
      <c r="AH25" s="20" t="n"/>
      <c r="AI25" s="21">
        <f>AH25/AH$37</f>
        <v/>
      </c>
      <c r="AJ25" s="22" t="n"/>
      <c r="AK25" s="23">
        <f>AJ25/AH25</f>
        <v/>
      </c>
      <c r="AL25" s="20" t="n"/>
      <c r="AM25" s="21">
        <f>AL25/AL$37</f>
        <v/>
      </c>
      <c r="AN25" s="22" t="n"/>
      <c r="AO25" s="23">
        <f>AN25/AL25</f>
        <v/>
      </c>
      <c r="AP25" s="20" t="n"/>
      <c r="AQ25" s="21">
        <f>AP25/AP$37</f>
        <v/>
      </c>
      <c r="AR25" s="24" t="n"/>
      <c r="AS25" s="23" t="n"/>
      <c r="AT25" s="20" t="n"/>
      <c r="AU25" s="21">
        <f>AR25/AR$37</f>
        <v/>
      </c>
      <c r="AV25" s="24" t="n"/>
      <c r="AW25" s="23" t="n"/>
      <c r="AX25" s="20" t="n"/>
      <c r="AY25" s="21">
        <f>AU25/AU$37</f>
        <v/>
      </c>
      <c r="AZ25" s="24" t="n"/>
      <c r="BA25" s="23" t="n"/>
      <c r="BB25" s="20" t="n"/>
      <c r="BC25" s="21">
        <f>BB25/BB$37</f>
        <v/>
      </c>
      <c r="BD25" s="24" t="n"/>
      <c r="BE25" s="23" t="n"/>
      <c r="BF25" s="25">
        <f>SUM(J25+N25+R25+V25+Z25+AD25+AH25+AL25+AP25+AT25+AX25+BB25)</f>
        <v/>
      </c>
      <c r="BG25" s="21">
        <f>BF25/BF$37</f>
        <v/>
      </c>
      <c r="BH25" s="26">
        <f>SUM(BD25+AZ25+AV25+AR25+AN25+AJ25+AF25++AB25+X25+T25+P25+L25)</f>
        <v/>
      </c>
      <c r="BI25" s="27">
        <f>BH25/BF25</f>
        <v/>
      </c>
    </row>
    <row r="26" ht="14.25" customHeight="1" s="62">
      <c r="A26" s="16" t="n">
        <v>5110</v>
      </c>
      <c r="B26" s="17" t="inlineStr">
        <is>
          <t>BONOS EUROLAB</t>
        </is>
      </c>
      <c r="C26" s="17" t="inlineStr">
        <is>
          <t>EUROLAB</t>
        </is>
      </c>
      <c r="D26" s="16" t="inlineStr">
        <is>
          <t>NO</t>
        </is>
      </c>
      <c r="E26" s="16" t="inlineStr">
        <is>
          <t>NO</t>
        </is>
      </c>
      <c r="F26" s="17" t="inlineStr">
        <is>
          <t>SI - DINAMICAS - BONOS</t>
        </is>
      </c>
      <c r="G26" s="18" t="inlineStr">
        <is>
          <t>Bono hasta 25.000 trx $74.81 Después $63.91 - Dínamicas hasta 50.000 trx $47.09 Después $40.49</t>
        </is>
      </c>
      <c r="H26" s="17" t="inlineStr">
        <is>
          <t>Trimstral por IPC Indec</t>
        </is>
      </c>
      <c r="I26" s="19" t="inlineStr">
        <is>
          <t>PRODUCTIVO</t>
        </is>
      </c>
      <c r="J26" s="20" t="n">
        <v>26534</v>
      </c>
      <c r="K26" s="21">
        <f>J26/J$37</f>
        <v/>
      </c>
      <c r="L26" s="24" t="n">
        <v>1963516</v>
      </c>
      <c r="M26" s="23">
        <f>L26/J26</f>
        <v/>
      </c>
      <c r="N26" s="20" t="n">
        <v>24819</v>
      </c>
      <c r="O26" s="21">
        <f>N26/N$37</f>
        <v/>
      </c>
      <c r="P26" s="22" t="n">
        <v>1836606</v>
      </c>
      <c r="Q26" s="23">
        <f>P26/N26</f>
        <v/>
      </c>
      <c r="R26" s="20" t="n">
        <v>30701</v>
      </c>
      <c r="S26" s="21">
        <f>R26/R$37</f>
        <v/>
      </c>
      <c r="T26" s="22" t="n">
        <v>2271874</v>
      </c>
      <c r="U26" s="23">
        <f>T26/R26</f>
        <v/>
      </c>
      <c r="V26" s="20" t="n">
        <v>31434</v>
      </c>
      <c r="W26" s="21">
        <f>V26/V$37</f>
        <v/>
      </c>
      <c r="X26" s="22" t="n">
        <v>2923362</v>
      </c>
      <c r="Y26" s="23">
        <f>X26/V26</f>
        <v/>
      </c>
      <c r="Z26" s="20" t="n"/>
      <c r="AA26" s="21">
        <f>Z26/Z$37</f>
        <v/>
      </c>
      <c r="AB26" s="22" t="n"/>
      <c r="AC26" s="23">
        <f>AB26/Z26</f>
        <v/>
      </c>
      <c r="AD26" s="20" t="n"/>
      <c r="AE26" s="21">
        <f>AD26/AD$37</f>
        <v/>
      </c>
      <c r="AF26" s="22" t="n"/>
      <c r="AG26" s="23">
        <f>AF26/AD26</f>
        <v/>
      </c>
      <c r="AH26" s="20" t="n"/>
      <c r="AI26" s="21">
        <f>AH26/AH$37</f>
        <v/>
      </c>
      <c r="AJ26" s="22" t="n"/>
      <c r="AK26" s="23">
        <f>AJ26/AH26</f>
        <v/>
      </c>
      <c r="AL26" s="20" t="n"/>
      <c r="AM26" s="21">
        <f>AL26/AL$37</f>
        <v/>
      </c>
      <c r="AN26" s="22" t="n"/>
      <c r="AO26" s="23">
        <f>AN26/AL26</f>
        <v/>
      </c>
      <c r="AP26" s="20" t="n"/>
      <c r="AQ26" s="21">
        <f>AP26/AP$37</f>
        <v/>
      </c>
      <c r="AR26" s="24" t="n"/>
      <c r="AS26" s="23" t="n"/>
      <c r="AT26" s="20" t="n"/>
      <c r="AU26" s="21">
        <f>AR26/AR$37</f>
        <v/>
      </c>
      <c r="AV26" s="24" t="n"/>
      <c r="AW26" s="23" t="n"/>
      <c r="AX26" s="20" t="n"/>
      <c r="AY26" s="21">
        <f>AU26/AU$37</f>
        <v/>
      </c>
      <c r="AZ26" s="24" t="n"/>
      <c r="BA26" s="23" t="n"/>
      <c r="BB26" s="20" t="n"/>
      <c r="BC26" s="21">
        <f>BB26/BB$37</f>
        <v/>
      </c>
      <c r="BD26" s="24" t="n"/>
      <c r="BE26" s="23" t="n"/>
      <c r="BF26" s="25">
        <f>SUM(J26+N26+R26+V26+Z26+AD26+AH26+AL26+AP26+AT26+AX26+BB26)</f>
        <v/>
      </c>
      <c r="BG26" s="21">
        <f>BF26/BF$37</f>
        <v/>
      </c>
      <c r="BH26" s="26">
        <f>SUM(BD26+AZ26+AV26+AR26+AN26+AJ26+AF26++AB26+X26+T26+P26+L26)</f>
        <v/>
      </c>
      <c r="BI26" s="27">
        <f>BH26/BF26</f>
        <v/>
      </c>
    </row>
    <row r="27" ht="14.25" customHeight="1" s="62">
      <c r="A27" s="16" t="n">
        <v>5120</v>
      </c>
      <c r="B27" s="17" t="inlineStr">
        <is>
          <t>PROGRAMA EXIMIA CEPAGE (CEODERMA)</t>
        </is>
      </c>
      <c r="C27" s="17" t="inlineStr">
        <is>
          <t>CEODERMA</t>
        </is>
      </c>
      <c r="D27" s="16" t="inlineStr">
        <is>
          <t>SI</t>
        </is>
      </c>
      <c r="E27" s="16" t="inlineStr">
        <is>
          <t>NO</t>
        </is>
      </c>
      <c r="F27" s="17" t="n"/>
      <c r="G27" s="17" t="inlineStr">
        <is>
          <t>Automático por 0,60% PVP</t>
        </is>
      </c>
      <c r="H27" s="18" t="n"/>
      <c r="I27" s="19" t="inlineStr">
        <is>
          <t>PRODUCTIVO</t>
        </is>
      </c>
      <c r="J27" s="20" t="n">
        <v>769</v>
      </c>
      <c r="K27" s="21">
        <f>J27/J$37</f>
        <v/>
      </c>
      <c r="L27" s="22" t="n">
        <v>159805.2</v>
      </c>
      <c r="M27" s="23">
        <f>L27/J27</f>
        <v/>
      </c>
      <c r="N27" s="20" t="n"/>
      <c r="O27" s="21">
        <f>N27/N$37</f>
        <v/>
      </c>
      <c r="P27" s="22" t="n"/>
      <c r="Q27" s="23">
        <f>P27/N27</f>
        <v/>
      </c>
      <c r="R27" s="20" t="n"/>
      <c r="S27" s="21">
        <f>R27/R$37</f>
        <v/>
      </c>
      <c r="T27" s="22" t="n"/>
      <c r="U27" s="23">
        <f>T27/R27</f>
        <v/>
      </c>
      <c r="V27" s="20" t="n"/>
      <c r="W27" s="21">
        <f>V27/V$37</f>
        <v/>
      </c>
      <c r="X27" s="22" t="n"/>
      <c r="Y27" s="23">
        <f>X27/V27</f>
        <v/>
      </c>
      <c r="Z27" s="20" t="n"/>
      <c r="AA27" s="21">
        <f>Z27/Z$37</f>
        <v/>
      </c>
      <c r="AB27" s="22" t="n"/>
      <c r="AC27" s="23">
        <f>AB27/Z27</f>
        <v/>
      </c>
      <c r="AD27" s="20" t="n"/>
      <c r="AE27" s="21">
        <f>AD27/AD$37</f>
        <v/>
      </c>
      <c r="AF27" s="22" t="n"/>
      <c r="AG27" s="23">
        <f>AF27/AD27</f>
        <v/>
      </c>
      <c r="AH27" s="20" t="n"/>
      <c r="AI27" s="21">
        <f>AH27/AH$37</f>
        <v/>
      </c>
      <c r="AJ27" s="22" t="n"/>
      <c r="AK27" s="23">
        <f>AJ27/AH27</f>
        <v/>
      </c>
      <c r="AL27" s="20" t="n"/>
      <c r="AM27" s="21">
        <f>AL27/AL$37</f>
        <v/>
      </c>
      <c r="AN27" s="22" t="n"/>
      <c r="AO27" s="23">
        <f>AN27/AL27</f>
        <v/>
      </c>
      <c r="AP27" s="20" t="n"/>
      <c r="AQ27" s="21">
        <f>AP27/AP$37</f>
        <v/>
      </c>
      <c r="AR27" s="24" t="n"/>
      <c r="AS27" s="23" t="n"/>
      <c r="AT27" s="20" t="n"/>
      <c r="AU27" s="21">
        <f>AR27/AR$37</f>
        <v/>
      </c>
      <c r="AV27" s="24" t="n"/>
      <c r="AW27" s="23" t="n"/>
      <c r="AX27" s="20" t="n"/>
      <c r="AY27" s="21">
        <f>AU27/AU$37</f>
        <v/>
      </c>
      <c r="AZ27" s="24" t="n"/>
      <c r="BA27" s="23" t="n"/>
      <c r="BB27" s="20" t="n"/>
      <c r="BC27" s="21">
        <f>BB27/BB$37</f>
        <v/>
      </c>
      <c r="BD27" s="24" t="n"/>
      <c r="BE27" s="23" t="n"/>
      <c r="BF27" s="25">
        <f>SUM(J27+N27+R27+V27+Z27+AD27+AH27+AL27+AP27+AT27+AX27+BB27)</f>
        <v/>
      </c>
      <c r="BG27" s="21">
        <f>BF27/BF$37</f>
        <v/>
      </c>
      <c r="BH27" s="26">
        <f>SUM(BD27+AZ27+AV27+AR27+AN27+AJ27+AF27++AB27+X27+T27+P27+L27)</f>
        <v/>
      </c>
      <c r="BI27" s="27">
        <f>BH27/BF27</f>
        <v/>
      </c>
    </row>
    <row r="28" ht="14.25" customHeight="1" s="62">
      <c r="A28" s="16" t="n">
        <v>5130</v>
      </c>
      <c r="B28" s="17" t="inlineStr">
        <is>
          <t>BONOS CASSARA</t>
        </is>
      </c>
      <c r="C28" s="17" t="inlineStr">
        <is>
          <t>CASSARA</t>
        </is>
      </c>
      <c r="D28" s="16" t="inlineStr">
        <is>
          <t>NO</t>
        </is>
      </c>
      <c r="E28" s="16" t="inlineStr">
        <is>
          <t>NO</t>
        </is>
      </c>
      <c r="F28" s="17" t="inlineStr">
        <is>
          <t>SI - DINAMICAS - BONOS</t>
        </is>
      </c>
      <c r="G28" s="18" t="inlineStr">
        <is>
          <t>Bono hasta 25.000 trx $74.81 Después $63.91 - Dínamicas hasta 50.000 trx $47.09 Después $40.49</t>
        </is>
      </c>
      <c r="H28" s="17" t="inlineStr">
        <is>
          <t>Trimstral por IPC Indec</t>
        </is>
      </c>
      <c r="I28" s="19" t="inlineStr">
        <is>
          <t>PRODUCTIVO</t>
        </is>
      </c>
      <c r="J28" s="20" t="n">
        <v>8603</v>
      </c>
      <c r="K28" s="21">
        <f>J28/J$37</f>
        <v/>
      </c>
      <c r="L28" s="24" t="n">
        <v>636622</v>
      </c>
      <c r="M28" s="23">
        <f>L28/J28</f>
        <v/>
      </c>
      <c r="N28" s="20" t="n">
        <v>7894</v>
      </c>
      <c r="O28" s="21">
        <f>N28/N$37</f>
        <v/>
      </c>
      <c r="P28" s="22" t="n">
        <v>584156</v>
      </c>
      <c r="Q28" s="23">
        <f>P28/N28</f>
        <v/>
      </c>
      <c r="R28" s="20" t="n">
        <v>9727</v>
      </c>
      <c r="S28" s="21">
        <f>R28/R$37</f>
        <v/>
      </c>
      <c r="T28" s="22" t="n">
        <v>719798</v>
      </c>
      <c r="U28" s="23">
        <f>T28/R28</f>
        <v/>
      </c>
      <c r="V28" s="20" t="n">
        <v>9823</v>
      </c>
      <c r="W28" s="21">
        <f>V28/V$37</f>
        <v/>
      </c>
      <c r="X28" s="22" t="n">
        <v>913539</v>
      </c>
      <c r="Y28" s="23">
        <f>X28/V28</f>
        <v/>
      </c>
      <c r="Z28" s="20" t="n"/>
      <c r="AA28" s="21">
        <f>Z28/Z$37</f>
        <v/>
      </c>
      <c r="AB28" s="22" t="n"/>
      <c r="AC28" s="23">
        <f>AB28/Z28</f>
        <v/>
      </c>
      <c r="AD28" s="20" t="n"/>
      <c r="AE28" s="21">
        <f>AD28/AD$37</f>
        <v/>
      </c>
      <c r="AF28" s="22" t="n"/>
      <c r="AG28" s="23">
        <f>AF28/AD28</f>
        <v/>
      </c>
      <c r="AH28" s="20" t="n"/>
      <c r="AI28" s="21">
        <f>AH28/AH$37</f>
        <v/>
      </c>
      <c r="AJ28" s="22" t="n"/>
      <c r="AK28" s="23">
        <f>AJ28/AH28</f>
        <v/>
      </c>
      <c r="AL28" s="20" t="n"/>
      <c r="AM28" s="21">
        <f>AL28/AL$37</f>
        <v/>
      </c>
      <c r="AN28" s="22" t="n"/>
      <c r="AO28" s="23">
        <f>AN28/AL28</f>
        <v/>
      </c>
      <c r="AP28" s="20" t="n"/>
      <c r="AQ28" s="21">
        <f>AP28/AP$37</f>
        <v/>
      </c>
      <c r="AR28" s="24" t="n"/>
      <c r="AS28" s="23" t="n"/>
      <c r="AT28" s="20" t="n"/>
      <c r="AU28" s="21">
        <f>AR28/AR$37</f>
        <v/>
      </c>
      <c r="AV28" s="24" t="n"/>
      <c r="AW28" s="23" t="n"/>
      <c r="AX28" s="20" t="n"/>
      <c r="AY28" s="21">
        <f>AU28/AU$37</f>
        <v/>
      </c>
      <c r="AZ28" s="24" t="n"/>
      <c r="BA28" s="23" t="n"/>
      <c r="BB28" s="20" t="n"/>
      <c r="BC28" s="21">
        <f>BB28/BB$37</f>
        <v/>
      </c>
      <c r="BD28" s="24" t="n"/>
      <c r="BE28" s="23" t="n"/>
      <c r="BF28" s="25">
        <f>SUM(J28+N28+R28+V28+Z28+AD28+AH28+AL28+AP28+AT28+AX28+BB28)</f>
        <v/>
      </c>
      <c r="BG28" s="21">
        <f>BF28/BF$37</f>
        <v/>
      </c>
      <c r="BH28" s="26">
        <f>SUM(BD28+AZ28+AV28+AR28+AN28+AJ28+AF28++AB28+X28+T28+P28+L28)</f>
        <v/>
      </c>
      <c r="BI28" s="27">
        <f>BH28/BF28</f>
        <v/>
      </c>
    </row>
    <row r="29" ht="14.25" customHeight="1" s="62">
      <c r="A29" s="16" t="n">
        <v>5140</v>
      </c>
      <c r="B29" s="17" t="inlineStr">
        <is>
          <t>BONOS BAGO</t>
        </is>
      </c>
      <c r="C29" s="17" t="inlineStr">
        <is>
          <t>BAGO</t>
        </is>
      </c>
      <c r="D29" s="16" t="inlineStr">
        <is>
          <t>NO</t>
        </is>
      </c>
      <c r="E29" s="16" t="inlineStr">
        <is>
          <t>NO</t>
        </is>
      </c>
      <c r="F29" s="17" t="inlineStr">
        <is>
          <t>SI - DINAMICAS - BONOS</t>
        </is>
      </c>
      <c r="G29" s="18" t="inlineStr">
        <is>
          <t>Bono hasta 25.000 trx $74.81 Después $63.91 - Dínamicas hasta 50.000 trx $47.09 Después $40.49</t>
        </is>
      </c>
      <c r="H29" s="17" t="inlineStr">
        <is>
          <t>Trimstral por IPC Indec</t>
        </is>
      </c>
      <c r="I29" s="19" t="inlineStr">
        <is>
          <t>PRODUCTIVO</t>
        </is>
      </c>
      <c r="J29" s="20" t="n">
        <v>54581</v>
      </c>
      <c r="K29" s="21">
        <f>J29/J$37</f>
        <v/>
      </c>
      <c r="L29" s="24" t="n">
        <v>4038994</v>
      </c>
      <c r="M29" s="23">
        <f>L29/J29</f>
        <v/>
      </c>
      <c r="N29" s="20" t="n">
        <v>35663</v>
      </c>
      <c r="O29" s="21">
        <f>N29/N$37</f>
        <v/>
      </c>
      <c r="P29" s="22" t="n">
        <v>2639062</v>
      </c>
      <c r="Q29" s="23">
        <f>P29/N29</f>
        <v/>
      </c>
      <c r="R29" s="20" t="n">
        <v>29614</v>
      </c>
      <c r="S29" s="21">
        <f>R29/R$37</f>
        <v/>
      </c>
      <c r="T29" s="22" t="n">
        <v>2191436</v>
      </c>
      <c r="U29" s="23">
        <f>T29/R29</f>
        <v/>
      </c>
      <c r="V29" s="20" t="n">
        <v>15759</v>
      </c>
      <c r="W29" s="21">
        <f>V29/V$37</f>
        <v/>
      </c>
      <c r="X29" s="22" t="n">
        <v>1465587</v>
      </c>
      <c r="Y29" s="23">
        <f>X29/V29</f>
        <v/>
      </c>
      <c r="Z29" s="20" t="n"/>
      <c r="AA29" s="21">
        <f>Z29/Z$37</f>
        <v/>
      </c>
      <c r="AB29" s="22" t="n"/>
      <c r="AC29" s="23">
        <f>AB29/Z29</f>
        <v/>
      </c>
      <c r="AD29" s="20" t="n"/>
      <c r="AE29" s="21">
        <f>AD29/AD$37</f>
        <v/>
      </c>
      <c r="AF29" s="22" t="n"/>
      <c r="AG29" s="23">
        <f>AF29/AD29</f>
        <v/>
      </c>
      <c r="AH29" s="20" t="n"/>
      <c r="AI29" s="21">
        <f>AH29/AH$37</f>
        <v/>
      </c>
      <c r="AJ29" s="22" t="n"/>
      <c r="AK29" s="23">
        <f>AJ29/AH29</f>
        <v/>
      </c>
      <c r="AL29" s="20" t="n"/>
      <c r="AM29" s="21">
        <f>AL29/AL$37</f>
        <v/>
      </c>
      <c r="AN29" s="22" t="n"/>
      <c r="AO29" s="23">
        <f>AN29/AL29</f>
        <v/>
      </c>
      <c r="AP29" s="20" t="n"/>
      <c r="AQ29" s="21">
        <f>AP29/AP$37</f>
        <v/>
      </c>
      <c r="AR29" s="24" t="n"/>
      <c r="AS29" s="23" t="n"/>
      <c r="AT29" s="20" t="n"/>
      <c r="AU29" s="21">
        <f>AR29/AR$37</f>
        <v/>
      </c>
      <c r="AV29" s="24" t="n"/>
      <c r="AW29" s="23" t="n"/>
      <c r="AX29" s="20" t="n"/>
      <c r="AY29" s="21">
        <f>AU29/AU$37</f>
        <v/>
      </c>
      <c r="AZ29" s="24" t="n"/>
      <c r="BA29" s="23" t="n"/>
      <c r="BB29" s="20" t="n"/>
      <c r="BC29" s="21">
        <f>BB29/BB$37</f>
        <v/>
      </c>
      <c r="BD29" s="24" t="n"/>
      <c r="BE29" s="23" t="n"/>
      <c r="BF29" s="25">
        <f>SUM(J29+N29+R29+V29+Z29+AD29+AH29+AL29+AP29+AT29+AX29+BB29)</f>
        <v/>
      </c>
      <c r="BG29" s="21">
        <f>BF29/BF$37</f>
        <v/>
      </c>
      <c r="BH29" s="26">
        <f>SUM(BD29+AZ29+AV29+AR29+AN29+AJ29+AF29++AB29+X29+T29+P29+L29)</f>
        <v/>
      </c>
      <c r="BI29" s="27">
        <f>BH29/BF29</f>
        <v/>
      </c>
    </row>
    <row r="30" ht="14.25" customHeight="1" s="62">
      <c r="A30" s="16" t="n">
        <v>5150</v>
      </c>
      <c r="B30" s="17" t="inlineStr">
        <is>
          <t>BONOS CAVIAHUE</t>
        </is>
      </c>
      <c r="C30" s="17" t="inlineStr">
        <is>
          <t>CVIAHUE</t>
        </is>
      </c>
      <c r="D30" s="16" t="inlineStr">
        <is>
          <t>NO</t>
        </is>
      </c>
      <c r="E30" s="16" t="inlineStr">
        <is>
          <t>NO</t>
        </is>
      </c>
      <c r="F30" s="17" t="inlineStr">
        <is>
          <t>SI - DINAMICAS - BONOS</t>
        </is>
      </c>
      <c r="G30" s="18" t="inlineStr">
        <is>
          <t>Bono hasta 25.000 trx $74.81 Después $63.91 - Dínamicas hasta 50.000 trx $47.09 Después $40.49</t>
        </is>
      </c>
      <c r="H30" s="17" t="inlineStr">
        <is>
          <t>Trimstral por IPC Indec</t>
        </is>
      </c>
      <c r="I30" s="19" t="inlineStr">
        <is>
          <t>PRODUCTIVO</t>
        </is>
      </c>
      <c r="J30" s="20" t="n">
        <v>1002</v>
      </c>
      <c r="K30" s="21">
        <f>J30/J$37</f>
        <v/>
      </c>
      <c r="L30" s="24" t="n">
        <v>74148</v>
      </c>
      <c r="M30" s="23" t="n"/>
      <c r="N30" s="20" t="n">
        <v>982</v>
      </c>
      <c r="O30" s="21">
        <f>N30/N$37</f>
        <v/>
      </c>
      <c r="P30" s="22" t="n">
        <v>72668</v>
      </c>
      <c r="Q30" s="23" t="n"/>
      <c r="R30" s="20" t="n">
        <v>804</v>
      </c>
      <c r="S30" s="21">
        <f>R30/R$37</f>
        <v/>
      </c>
      <c r="T30" s="22" t="n">
        <v>59496</v>
      </c>
      <c r="U30" s="23" t="n"/>
      <c r="V30" s="20" t="n">
        <v>2593</v>
      </c>
      <c r="W30" s="21">
        <f>V30/V$37</f>
        <v/>
      </c>
      <c r="X30" s="22" t="n">
        <v>241149</v>
      </c>
      <c r="Y30" s="23">
        <f>X30/V30</f>
        <v/>
      </c>
      <c r="Z30" s="20" t="n"/>
      <c r="AA30" s="21">
        <f>Z30/Z$37</f>
        <v/>
      </c>
      <c r="AB30" s="22" t="n"/>
      <c r="AC30" s="23">
        <f>AB30/Z30</f>
        <v/>
      </c>
      <c r="AD30" s="20" t="n"/>
      <c r="AE30" s="21">
        <f>AD30/AD$37</f>
        <v/>
      </c>
      <c r="AF30" s="22" t="n"/>
      <c r="AG30" s="23">
        <f>AF30/AD30</f>
        <v/>
      </c>
      <c r="AH30" s="20" t="n"/>
      <c r="AI30" s="21">
        <f>AH30/AH$37</f>
        <v/>
      </c>
      <c r="AJ30" s="22" t="n"/>
      <c r="AK30" s="23">
        <f>AJ30/AH30</f>
        <v/>
      </c>
      <c r="AL30" s="20" t="n"/>
      <c r="AM30" s="21">
        <f>AL30/AL$37</f>
        <v/>
      </c>
      <c r="AN30" s="22" t="n"/>
      <c r="AO30" s="23">
        <f>AN30/AL30</f>
        <v/>
      </c>
      <c r="AP30" s="20" t="n"/>
      <c r="AQ30" s="21">
        <f>AP30/AP$37</f>
        <v/>
      </c>
      <c r="AR30" s="24" t="n"/>
      <c r="AS30" s="23" t="n"/>
      <c r="AT30" s="20" t="n"/>
      <c r="AU30" s="21">
        <f>AR30/AR$37</f>
        <v/>
      </c>
      <c r="AV30" s="24" t="n"/>
      <c r="AW30" s="23" t="n"/>
      <c r="AX30" s="20" t="n"/>
      <c r="AY30" s="21">
        <f>AU30/AU$37</f>
        <v/>
      </c>
      <c r="AZ30" s="24" t="n"/>
      <c r="BA30" s="23" t="n"/>
      <c r="BB30" s="20" t="n"/>
      <c r="BC30" s="21">
        <f>BB30/BB$37</f>
        <v/>
      </c>
      <c r="BD30" s="24" t="n"/>
      <c r="BE30" s="23" t="n"/>
      <c r="BF30" s="25">
        <f>SUM(J30+N30+R30+V30+Z30+AD30+AH30+AL30+AP30+AT30+AX30+BB30)</f>
        <v/>
      </c>
      <c r="BG30" s="21">
        <f>BF30/BF$37</f>
        <v/>
      </c>
      <c r="BH30" s="26">
        <f>SUM(BD30+AZ30+AV30+AR30+AN30+AJ30+AF30++AB30+X30+T30+P30+L30)</f>
        <v/>
      </c>
      <c r="BI30" s="27">
        <f>BH30/BF30</f>
        <v/>
      </c>
    </row>
    <row r="31" ht="14.25" customHeight="1" s="62">
      <c r="A31" s="16" t="n">
        <v>5160</v>
      </c>
      <c r="B31" s="17" t="inlineStr">
        <is>
          <t>BONOS BY DERM</t>
        </is>
      </c>
      <c r="C31" s="17" t="inlineStr">
        <is>
          <t>BYDERM</t>
        </is>
      </c>
      <c r="D31" s="16" t="inlineStr">
        <is>
          <t>NO</t>
        </is>
      </c>
      <c r="E31" s="16" t="inlineStr">
        <is>
          <t>NO</t>
        </is>
      </c>
      <c r="F31" s="17" t="inlineStr">
        <is>
          <t>SI - DINAMICAS - BONOS</t>
        </is>
      </c>
      <c r="G31" s="18" t="inlineStr">
        <is>
          <t>Bono hasta 25.000 trx $74.81 Después $63.91 - Dínamicas hasta 50.000 trx $47.09 Después $40.49</t>
        </is>
      </c>
      <c r="H31" s="17" t="inlineStr">
        <is>
          <t>Trimstral por IPC Indec</t>
        </is>
      </c>
      <c r="I31" s="19" t="inlineStr">
        <is>
          <t>PRODUCTIVO</t>
        </is>
      </c>
      <c r="J31" s="20" t="n">
        <v>5461</v>
      </c>
      <c r="K31" s="21">
        <f>J31/J$37</f>
        <v/>
      </c>
      <c r="L31" s="24" t="n">
        <v>404114</v>
      </c>
      <c r="M31" s="23" t="n"/>
      <c r="N31" s="20" t="n">
        <v>5116</v>
      </c>
      <c r="O31" s="21">
        <f>N31/N$37</f>
        <v/>
      </c>
      <c r="P31" s="22" t="n">
        <v>378584</v>
      </c>
      <c r="Q31" s="23" t="n"/>
      <c r="R31" s="20" t="n">
        <v>6240</v>
      </c>
      <c r="S31" s="21">
        <f>R31/R$37</f>
        <v/>
      </c>
      <c r="T31" s="22" t="n">
        <v>461760</v>
      </c>
      <c r="U31" s="23" t="n"/>
      <c r="V31" s="20" t="n">
        <v>6100</v>
      </c>
      <c r="W31" s="21">
        <f>V31/V$37</f>
        <v/>
      </c>
      <c r="X31" s="22" t="n">
        <v>567300</v>
      </c>
      <c r="Y31" s="23">
        <f>X31/V31</f>
        <v/>
      </c>
      <c r="Z31" s="20" t="n"/>
      <c r="AA31" s="21">
        <f>Z31/Z$37</f>
        <v/>
      </c>
      <c r="AB31" s="22" t="n"/>
      <c r="AC31" s="23">
        <f>AB31/Z31</f>
        <v/>
      </c>
      <c r="AD31" s="20" t="n"/>
      <c r="AE31" s="21">
        <f>AD31/AD$37</f>
        <v/>
      </c>
      <c r="AF31" s="22" t="n"/>
      <c r="AG31" s="23">
        <f>AF31/AD31</f>
        <v/>
      </c>
      <c r="AH31" s="20" t="n"/>
      <c r="AI31" s="21">
        <f>AH31/AH$37</f>
        <v/>
      </c>
      <c r="AJ31" s="22" t="n"/>
      <c r="AK31" s="23">
        <f>AJ31/AH31</f>
        <v/>
      </c>
      <c r="AL31" s="20" t="n"/>
      <c r="AM31" s="21">
        <f>AL31/AL$37</f>
        <v/>
      </c>
      <c r="AN31" s="22" t="n"/>
      <c r="AO31" s="23">
        <f>AN31/AL31</f>
        <v/>
      </c>
      <c r="AP31" s="20" t="n"/>
      <c r="AQ31" s="21">
        <f>AP31/AP$37</f>
        <v/>
      </c>
      <c r="AR31" s="24" t="n"/>
      <c r="AS31" s="23" t="n"/>
      <c r="AT31" s="20" t="n"/>
      <c r="AU31" s="21">
        <f>AR31/AR$37</f>
        <v/>
      </c>
      <c r="AV31" s="24" t="n"/>
      <c r="AW31" s="23" t="n"/>
      <c r="AX31" s="20" t="n"/>
      <c r="AY31" s="21">
        <f>AU31/AU$37</f>
        <v/>
      </c>
      <c r="AZ31" s="24" t="n"/>
      <c r="BA31" s="23" t="n"/>
      <c r="BB31" s="20" t="n"/>
      <c r="BC31" s="21">
        <f>BB31/BB$37</f>
        <v/>
      </c>
      <c r="BD31" s="24" t="n"/>
      <c r="BE31" s="23" t="n"/>
      <c r="BF31" s="25">
        <f>SUM(J31+N31+R31+V31+Z31+AD31+AH31+AL31+AP31+AT31+AX31+BB31)</f>
        <v/>
      </c>
      <c r="BG31" s="21">
        <f>BF31/BF$37</f>
        <v/>
      </c>
      <c r="BH31" s="26">
        <f>SUM(BD31+AZ31+AV31+AR31+AN31+AJ31+AF31++AB31+X31+T31+P31+L31)</f>
        <v/>
      </c>
      <c r="BI31" s="27">
        <f>BH31/BF31</f>
        <v/>
      </c>
    </row>
    <row r="32" ht="14.25" customHeight="1" s="62">
      <c r="A32" s="16" t="n">
        <v>5170</v>
      </c>
      <c r="B32" s="17" t="inlineStr">
        <is>
          <t>BONOS BIODERMA</t>
        </is>
      </c>
      <c r="C32" s="17" t="inlineStr">
        <is>
          <t>BIODERMA</t>
        </is>
      </c>
      <c r="D32" s="16" t="inlineStr">
        <is>
          <t>NO</t>
        </is>
      </c>
      <c r="E32" s="16" t="inlineStr">
        <is>
          <t>NO</t>
        </is>
      </c>
      <c r="F32" s="18" t="inlineStr">
        <is>
          <t>SI - DINAMICAS - BONOS</t>
        </is>
      </c>
      <c r="G32" s="18" t="inlineStr">
        <is>
          <t>Bono hasta 25.000 trx $74.81 Después $63.91 - Dínamicas hasta 50.000 trx $47.09 Después $40.49</t>
        </is>
      </c>
      <c r="H32" s="17" t="inlineStr">
        <is>
          <t>Trimstral por IPC Indec</t>
        </is>
      </c>
      <c r="I32" s="19" t="inlineStr">
        <is>
          <t>PRODUCTIVO</t>
        </is>
      </c>
      <c r="J32" s="20" t="n">
        <v>1129</v>
      </c>
      <c r="K32" s="21">
        <f>J32/J$37</f>
        <v/>
      </c>
      <c r="L32" s="24" t="n">
        <v>83546</v>
      </c>
      <c r="M32" s="23" t="n"/>
      <c r="N32" s="20" t="n">
        <v>1053</v>
      </c>
      <c r="O32" s="21">
        <f>N32/N$37</f>
        <v/>
      </c>
      <c r="P32" s="22" t="n">
        <v>77922</v>
      </c>
      <c r="Q32" s="23" t="n"/>
      <c r="R32" s="20" t="n">
        <v>1289</v>
      </c>
      <c r="S32" s="21">
        <f>R32/R$37</f>
        <v/>
      </c>
      <c r="T32" s="22" t="n">
        <v>95386</v>
      </c>
      <c r="U32" s="23" t="n"/>
      <c r="V32" s="20" t="n">
        <v>1462</v>
      </c>
      <c r="W32" s="21">
        <f>V32/V$37</f>
        <v/>
      </c>
      <c r="X32" s="22" t="n">
        <v>135966</v>
      </c>
      <c r="Y32" s="23" t="n"/>
      <c r="Z32" s="20" t="n"/>
      <c r="AA32" s="21">
        <f>Z32/Z$37</f>
        <v/>
      </c>
      <c r="AB32" s="22" t="n"/>
      <c r="AC32" s="23" t="n"/>
      <c r="AD32" s="20" t="n"/>
      <c r="AE32" s="21">
        <f>AD32/AD$37</f>
        <v/>
      </c>
      <c r="AF32" s="22" t="n"/>
      <c r="AG32" s="23">
        <f>AF32/AD32</f>
        <v/>
      </c>
      <c r="AH32" s="20" t="n"/>
      <c r="AI32" s="21">
        <f>AH32/AH$37</f>
        <v/>
      </c>
      <c r="AJ32" s="22" t="n"/>
      <c r="AK32" s="23">
        <f>AJ32/AH32</f>
        <v/>
      </c>
      <c r="AL32" s="20" t="n"/>
      <c r="AM32" s="21">
        <f>AL32/AL$37</f>
        <v/>
      </c>
      <c r="AN32" s="22" t="n"/>
      <c r="AO32" s="23">
        <f>AN32/AL32</f>
        <v/>
      </c>
      <c r="AP32" s="20" t="n"/>
      <c r="AQ32" s="21">
        <f>AP32/AP$37</f>
        <v/>
      </c>
      <c r="AR32" s="24" t="n"/>
      <c r="AS32" s="23" t="n"/>
      <c r="AT32" s="20" t="n"/>
      <c r="AU32" s="21">
        <f>AR32/AR$37</f>
        <v/>
      </c>
      <c r="AV32" s="24" t="n"/>
      <c r="AW32" s="23" t="n"/>
      <c r="AX32" s="20" t="n"/>
      <c r="AY32" s="21">
        <f>AU32/AU$37</f>
        <v/>
      </c>
      <c r="AZ32" s="24" t="n"/>
      <c r="BA32" s="23" t="n"/>
      <c r="BB32" s="20" t="n"/>
      <c r="BC32" s="21">
        <f>BB32/BB$37</f>
        <v/>
      </c>
      <c r="BD32" s="24" t="n"/>
      <c r="BE32" s="23" t="n"/>
      <c r="BF32" s="25">
        <f>SUM(J32+N32+R32+V32+Z32+AD32+AH32+AL32+AP32+AT32+AX32+BB32)</f>
        <v/>
      </c>
      <c r="BG32" s="21">
        <f>BF32/BF$37</f>
        <v/>
      </c>
      <c r="BH32" s="26">
        <f>SUM(BD32+AZ32+AV32+AR32+AN32+AJ32+AF32++AB32+X32+T32+P32+L32)</f>
        <v/>
      </c>
      <c r="BI32" s="27">
        <f>BH32/BF32</f>
        <v/>
      </c>
    </row>
    <row r="33" ht="14.25" customHeight="1" s="62">
      <c r="A33" s="16" t="n">
        <v>5180</v>
      </c>
      <c r="B33" s="17" t="inlineStr">
        <is>
          <t>BONOS BIFERDIL</t>
        </is>
      </c>
      <c r="C33" s="17" t="inlineStr">
        <is>
          <t>BIFERDIL</t>
        </is>
      </c>
      <c r="D33" s="16" t="n"/>
      <c r="E33" s="16" t="n"/>
      <c r="F33" s="16" t="n"/>
      <c r="G33" s="16" t="n"/>
      <c r="H33" s="16" t="n"/>
      <c r="I33" s="29" t="inlineStr">
        <is>
          <t>STARTUP</t>
        </is>
      </c>
      <c r="J33" s="20" t="n">
        <v>10</v>
      </c>
      <c r="K33" s="21">
        <f>J33/J$37</f>
        <v/>
      </c>
      <c r="L33" s="24" t="n">
        <v>740</v>
      </c>
      <c r="M33" s="23" t="n"/>
      <c r="N33" s="20" t="n">
        <v>12</v>
      </c>
      <c r="O33" s="21">
        <f>N33/N$37</f>
        <v/>
      </c>
      <c r="P33" s="22" t="n">
        <v>888</v>
      </c>
      <c r="Q33" s="23" t="n"/>
      <c r="R33" s="20" t="n">
        <v>14</v>
      </c>
      <c r="S33" s="21">
        <f>R33/R$37</f>
        <v/>
      </c>
      <c r="T33" s="22" t="n">
        <v>1036</v>
      </c>
      <c r="U33" s="23" t="n"/>
      <c r="V33" s="20" t="n">
        <v>22</v>
      </c>
      <c r="W33" s="21">
        <f>V33/V$37</f>
        <v/>
      </c>
      <c r="X33" s="22" t="n">
        <v>2046</v>
      </c>
      <c r="Y33" s="23" t="n"/>
      <c r="Z33" s="20" t="n"/>
      <c r="AA33" s="21">
        <f>Z33/Z$37</f>
        <v/>
      </c>
      <c r="AB33" s="22" t="n"/>
      <c r="AC33" s="23" t="n"/>
      <c r="AD33" s="20" t="n"/>
      <c r="AE33" s="21">
        <f>AD33/AD$37</f>
        <v/>
      </c>
      <c r="AF33" s="22" t="n"/>
      <c r="AG33" s="23" t="n"/>
      <c r="AH33" s="20" t="n"/>
      <c r="AI33" s="21">
        <f>AH33/AH$37</f>
        <v/>
      </c>
      <c r="AJ33" s="22" t="n"/>
      <c r="AK33" s="23" t="n"/>
      <c r="AL33" s="20" t="n"/>
      <c r="AM33" s="21">
        <f>AL33/AL$37</f>
        <v/>
      </c>
      <c r="AN33" s="22" t="n"/>
      <c r="AO33" s="23" t="n"/>
      <c r="AP33" s="20" t="n"/>
      <c r="AQ33" s="21">
        <f>AP33/AP$37</f>
        <v/>
      </c>
      <c r="AR33" s="24" t="n"/>
      <c r="AS33" s="23" t="n"/>
      <c r="AT33" s="20" t="n"/>
      <c r="AU33" s="21">
        <f>AR33/AR$37</f>
        <v/>
      </c>
      <c r="AV33" s="24" t="n"/>
      <c r="AW33" s="23" t="n"/>
      <c r="AX33" s="20" t="n"/>
      <c r="AY33" s="21">
        <f>AU33/AU$37</f>
        <v/>
      </c>
      <c r="AZ33" s="24" t="n"/>
      <c r="BA33" s="23" t="n"/>
      <c r="BB33" s="20" t="n"/>
      <c r="BC33" s="21">
        <f>BB33/BB$37</f>
        <v/>
      </c>
      <c r="BD33" s="24" t="n"/>
      <c r="BE33" s="23" t="n"/>
      <c r="BF33" s="25">
        <f>SUM(J33+N33+R33+V33+Z33+AD33+AH33+AL33+AP33+AT33+AX33+BB33)</f>
        <v/>
      </c>
      <c r="BG33" s="21">
        <f>BF33/BF$37</f>
        <v/>
      </c>
      <c r="BH33" s="26">
        <f>SUM(BD33+AZ33+AV33+AR33+AN33+AJ33+AF33++AB33+X33+T33+P33+L33)</f>
        <v/>
      </c>
      <c r="BI33" s="27" t="n"/>
    </row>
    <row r="34" ht="14.25" customHeight="1" s="62">
      <c r="A34" s="16" t="n">
        <v>5190</v>
      </c>
      <c r="B34" s="17" t="inlineStr">
        <is>
          <t>BONOS FRESENIUS</t>
        </is>
      </c>
      <c r="C34" s="17" t="inlineStr">
        <is>
          <t>FRESENIUS</t>
        </is>
      </c>
      <c r="D34" s="16" t="n"/>
      <c r="E34" s="16" t="n"/>
      <c r="F34" s="16" t="n"/>
      <c r="G34" s="16" t="n"/>
      <c r="H34" s="16" t="n"/>
      <c r="I34" s="29" t="inlineStr">
        <is>
          <t>STARTUP</t>
        </is>
      </c>
      <c r="J34" s="20" t="n">
        <v>47</v>
      </c>
      <c r="K34" s="21">
        <f>J34/J$37</f>
        <v/>
      </c>
      <c r="L34" s="24" t="n">
        <v>3478</v>
      </c>
      <c r="M34" s="23" t="n"/>
      <c r="N34" s="20" t="n">
        <v>38</v>
      </c>
      <c r="O34" s="21">
        <f>N34/N$37</f>
        <v/>
      </c>
      <c r="P34" s="22" t="n">
        <v>2812</v>
      </c>
      <c r="Q34" s="23" t="n"/>
      <c r="R34" s="20" t="n">
        <v>46</v>
      </c>
      <c r="S34" s="21">
        <f>R34/R$37</f>
        <v/>
      </c>
      <c r="T34" s="22" t="n">
        <v>3404</v>
      </c>
      <c r="U34" s="23" t="n"/>
      <c r="V34" s="20" t="n">
        <v>107</v>
      </c>
      <c r="W34" s="21">
        <f>V34/V$37</f>
        <v/>
      </c>
      <c r="X34" s="22" t="n">
        <v>9951</v>
      </c>
      <c r="Y34" s="23" t="n"/>
      <c r="Z34" s="20" t="n"/>
      <c r="AA34" s="21">
        <f>Z34/Z$37</f>
        <v/>
      </c>
      <c r="AB34" s="22" t="n"/>
      <c r="AC34" s="23" t="n"/>
      <c r="AD34" s="20" t="n"/>
      <c r="AE34" s="21">
        <f>AD34/AD$37</f>
        <v/>
      </c>
      <c r="AF34" s="22" t="n"/>
      <c r="AG34" s="23" t="n"/>
      <c r="AH34" s="20" t="n"/>
      <c r="AI34" s="21">
        <f>AH34/AH$37</f>
        <v/>
      </c>
      <c r="AJ34" s="22" t="n"/>
      <c r="AK34" s="23" t="n"/>
      <c r="AL34" s="20" t="n"/>
      <c r="AM34" s="21">
        <f>AL34/AL$37</f>
        <v/>
      </c>
      <c r="AN34" s="22" t="n"/>
      <c r="AO34" s="23" t="n"/>
      <c r="AP34" s="20" t="n"/>
      <c r="AQ34" s="21">
        <f>AP34/AP$37</f>
        <v/>
      </c>
      <c r="AR34" s="24" t="n"/>
      <c r="AS34" s="23" t="n"/>
      <c r="AT34" s="20" t="n"/>
      <c r="AU34" s="21">
        <f>AR34/AR$37</f>
        <v/>
      </c>
      <c r="AV34" s="24" t="n"/>
      <c r="AW34" s="23" t="n"/>
      <c r="AX34" s="20" t="n"/>
      <c r="AY34" s="21">
        <f>AU34/AU$37</f>
        <v/>
      </c>
      <c r="AZ34" s="24" t="n"/>
      <c r="BA34" s="23" t="n"/>
      <c r="BB34" s="20" t="n"/>
      <c r="BC34" s="21">
        <f>BB34/BB$37</f>
        <v/>
      </c>
      <c r="BD34" s="24" t="n"/>
      <c r="BE34" s="23" t="n"/>
      <c r="BF34" s="25">
        <f>SUM(J34+N34+R34+V34+Z34+AD34+AH34+AL34+AP34+AT34+AX34+BB34)</f>
        <v/>
      </c>
      <c r="BG34" s="21">
        <f>BF34/BF$37</f>
        <v/>
      </c>
      <c r="BH34" s="26">
        <f>SUM(BD34+AZ34+AV34+AR34+AN34+AJ34+AF34++AB34+X34+T34+P34+L34)</f>
        <v/>
      </c>
      <c r="BI34" s="27" t="n"/>
    </row>
    <row r="35" ht="14.25" customHeight="1" s="62">
      <c r="A35" s="16" t="n">
        <v>5200</v>
      </c>
      <c r="B35" s="17" t="inlineStr">
        <is>
          <t>BONOS SC JHONSON</t>
        </is>
      </c>
      <c r="C35" s="17" t="inlineStr">
        <is>
          <t>SC JHONSON</t>
        </is>
      </c>
      <c r="D35" s="16" t="n"/>
      <c r="E35" s="16" t="n"/>
      <c r="F35" s="16" t="n"/>
      <c r="G35" s="16" t="n"/>
      <c r="H35" s="16" t="n"/>
      <c r="I35" s="29" t="inlineStr">
        <is>
          <t>STARTUP</t>
        </is>
      </c>
      <c r="J35" s="20" t="n">
        <v>16</v>
      </c>
      <c r="K35" s="21">
        <f>J35/J$37</f>
        <v/>
      </c>
      <c r="L35" s="24" t="n">
        <v>1184</v>
      </c>
      <c r="M35" s="23" t="n"/>
      <c r="N35" s="20" t="n">
        <v>20</v>
      </c>
      <c r="O35" s="21">
        <f>N35/N$37</f>
        <v/>
      </c>
      <c r="P35" s="22" t="n">
        <v>1480</v>
      </c>
      <c r="Q35" s="23" t="n"/>
      <c r="R35" s="20" t="n">
        <v>24</v>
      </c>
      <c r="S35" s="21">
        <f>R35/R$37</f>
        <v/>
      </c>
      <c r="T35" s="22" t="n">
        <v>1776</v>
      </c>
      <c r="U35" s="23" t="n"/>
      <c r="V35" s="20" t="n">
        <v>6</v>
      </c>
      <c r="W35" s="21">
        <f>V35/V$37</f>
        <v/>
      </c>
      <c r="X35" s="22" t="n">
        <v>558</v>
      </c>
      <c r="Y35" s="23" t="n"/>
      <c r="Z35" s="20" t="n"/>
      <c r="AA35" s="21">
        <f>Z35/Z$37</f>
        <v/>
      </c>
      <c r="AB35" s="22" t="n"/>
      <c r="AC35" s="23" t="n"/>
      <c r="AD35" s="20" t="n"/>
      <c r="AE35" s="21">
        <f>AD35/AD$37</f>
        <v/>
      </c>
      <c r="AF35" s="22" t="n"/>
      <c r="AG35" s="23" t="n"/>
      <c r="AH35" s="20" t="n"/>
      <c r="AI35" s="21">
        <f>AH35/AH$37</f>
        <v/>
      </c>
      <c r="AJ35" s="22" t="n"/>
      <c r="AK35" s="23" t="n"/>
      <c r="AL35" s="20" t="n"/>
      <c r="AM35" s="21">
        <f>AL35/AL$37</f>
        <v/>
      </c>
      <c r="AN35" s="22" t="n"/>
      <c r="AO35" s="23" t="n"/>
      <c r="AP35" s="20" t="n"/>
      <c r="AQ35" s="21">
        <f>AP35/AP$37</f>
        <v/>
      </c>
      <c r="AR35" s="24" t="n"/>
      <c r="AS35" s="23" t="n"/>
      <c r="AT35" s="20" t="n"/>
      <c r="AU35" s="21">
        <f>AR35/AR$37</f>
        <v/>
      </c>
      <c r="AV35" s="24" t="n"/>
      <c r="AW35" s="23" t="n"/>
      <c r="AX35" s="20" t="n"/>
      <c r="AY35" s="21">
        <f>AU35/AU$37</f>
        <v/>
      </c>
      <c r="AZ35" s="24" t="n"/>
      <c r="BA35" s="23" t="n"/>
      <c r="BB35" s="20" t="n"/>
      <c r="BC35" s="21">
        <f>BB35/BB$37</f>
        <v/>
      </c>
      <c r="BD35" s="24" t="n"/>
      <c r="BE35" s="23" t="n"/>
      <c r="BF35" s="25">
        <f>SUM(J35+N35+R35+V35+Z35+AD35+AH35+AL35+AP35+AT35+AX35+BB35)</f>
        <v/>
      </c>
      <c r="BG35" s="21">
        <f>BF35/BF$37</f>
        <v/>
      </c>
      <c r="BH35" s="26">
        <f>SUM(BD35+AZ35+AV35+AR35+AN35+AJ35+AF35++AB35+X35+T35+P35+L35)</f>
        <v/>
      </c>
      <c r="BI35" s="27" t="n"/>
    </row>
    <row r="36" ht="14.25" customHeight="1" s="62">
      <c r="A36" s="16" t="n">
        <v>5210</v>
      </c>
      <c r="B36" s="17" t="inlineStr">
        <is>
          <t>BONOS PHARMATRIX</t>
        </is>
      </c>
      <c r="C36" s="17" t="inlineStr">
        <is>
          <t>PHARMATRIX</t>
        </is>
      </c>
      <c r="D36" s="16" t="n"/>
      <c r="E36" s="16" t="n"/>
      <c r="F36" s="16" t="n"/>
      <c r="G36" s="16" t="n"/>
      <c r="H36" s="16" t="n"/>
      <c r="I36" s="29" t="inlineStr">
        <is>
          <t>STARTUP</t>
        </is>
      </c>
      <c r="J36" s="20" t="n">
        <v>85</v>
      </c>
      <c r="K36" s="21">
        <f>J36/J$37</f>
        <v/>
      </c>
      <c r="L36" s="24" t="n">
        <v>6290</v>
      </c>
      <c r="M36" s="23" t="n"/>
      <c r="N36" s="20" t="n">
        <v>80</v>
      </c>
      <c r="O36" s="21">
        <f>N36/N$37</f>
        <v/>
      </c>
      <c r="P36" s="22" t="n">
        <v>5920</v>
      </c>
      <c r="Q36" s="23" t="n"/>
      <c r="R36" s="20" t="n">
        <v>248</v>
      </c>
      <c r="S36" s="21">
        <f>R36/R$37</f>
        <v/>
      </c>
      <c r="T36" s="22" t="n">
        <v>18352</v>
      </c>
      <c r="U36" s="23" t="n"/>
      <c r="V36" s="20" t="n">
        <v>320</v>
      </c>
      <c r="W36" s="21">
        <f>V36/V$37</f>
        <v/>
      </c>
      <c r="X36" s="22" t="n">
        <v>29760</v>
      </c>
      <c r="Y36" s="23" t="n"/>
      <c r="Z36" s="20" t="n"/>
      <c r="AA36" s="21">
        <f>Z36/Z$37</f>
        <v/>
      </c>
      <c r="AB36" s="22" t="n"/>
      <c r="AC36" s="23" t="n"/>
      <c r="AD36" s="20" t="n"/>
      <c r="AE36" s="21">
        <f>AD36/AD$37</f>
        <v/>
      </c>
      <c r="AF36" s="22" t="n"/>
      <c r="AG36" s="23" t="n"/>
      <c r="AH36" s="20" t="n"/>
      <c r="AI36" s="21">
        <f>AH36/AH$37</f>
        <v/>
      </c>
      <c r="AJ36" s="22" t="n"/>
      <c r="AK36" s="23" t="n"/>
      <c r="AL36" s="20" t="n"/>
      <c r="AM36" s="21">
        <f>AL36/AL$37</f>
        <v/>
      </c>
      <c r="AN36" s="22" t="n"/>
      <c r="AO36" s="23" t="n"/>
      <c r="AP36" s="20" t="n"/>
      <c r="AQ36" s="21">
        <f>AP36/AP$37</f>
        <v/>
      </c>
      <c r="AR36" s="24" t="n"/>
      <c r="AS36" s="23" t="n"/>
      <c r="AT36" s="20" t="n"/>
      <c r="AU36" s="21">
        <f>AR36/AR$37</f>
        <v/>
      </c>
      <c r="AV36" s="24" t="n"/>
      <c r="AW36" s="23" t="n"/>
      <c r="AX36" s="20" t="n"/>
      <c r="AY36" s="21">
        <f>AU36/AU$37</f>
        <v/>
      </c>
      <c r="AZ36" s="24" t="n"/>
      <c r="BA36" s="23" t="n"/>
      <c r="BB36" s="20" t="n"/>
      <c r="BC36" s="21">
        <f>BB36/BB$37</f>
        <v/>
      </c>
      <c r="BD36" s="24" t="n"/>
      <c r="BE36" s="23" t="n"/>
      <c r="BF36" s="25">
        <f>SUM(J36+N36+R36+V36+Z36+AD36+AH36+AL36+AP36+AT36+AX36+BB36)</f>
        <v/>
      </c>
      <c r="BG36" s="21">
        <f>BF36/BF$37</f>
        <v/>
      </c>
      <c r="BH36" s="26">
        <f>SUM(BD36+AZ36+AV36+AR36+AN36+AJ36+AF36++AB36+X36+T36+P36+L36)</f>
        <v/>
      </c>
      <c r="BI36" s="27" t="n"/>
    </row>
    <row r="37" ht="14.25" customHeight="1" s="62">
      <c r="A37" s="67" t="inlineStr">
        <is>
          <t>TOTAL ON LINE</t>
        </is>
      </c>
      <c r="B37" s="68" t="n"/>
      <c r="C37" s="32" t="n"/>
      <c r="D37" s="33" t="n"/>
      <c r="E37" s="33" t="n"/>
      <c r="F37" s="33" t="n"/>
      <c r="G37" s="33" t="n"/>
      <c r="H37" s="33" t="n"/>
      <c r="I37" s="34" t="n"/>
      <c r="J37" s="35">
        <f>SUM(J3:J36)</f>
        <v/>
      </c>
      <c r="K37" s="36">
        <f>J37/J40</f>
        <v/>
      </c>
      <c r="L37" s="36" t="n"/>
      <c r="M37" s="37" t="n"/>
      <c r="N37" s="20">
        <f>SUM(N3:N36)</f>
        <v/>
      </c>
      <c r="O37" s="36">
        <f>N37/N40</f>
        <v/>
      </c>
      <c r="P37" s="36" t="n"/>
      <c r="Q37" s="37" t="n"/>
      <c r="R37" s="20">
        <f>SUM(R3:R36)</f>
        <v/>
      </c>
      <c r="S37" s="36">
        <f>R37/R40</f>
        <v/>
      </c>
      <c r="T37" s="36" t="n"/>
      <c r="U37" s="37" t="n"/>
      <c r="V37" s="20">
        <f>SUM(V3:V36)</f>
        <v/>
      </c>
      <c r="W37" s="36">
        <f>V37/V40</f>
        <v/>
      </c>
      <c r="X37" s="36" t="n"/>
      <c r="Y37" s="37" t="n"/>
      <c r="Z37" s="20">
        <f>SUM(Z3:Z36)</f>
        <v/>
      </c>
      <c r="AA37" s="36">
        <f>Z37/Z40</f>
        <v/>
      </c>
      <c r="AB37" s="36" t="n"/>
      <c r="AC37" s="37" t="n"/>
      <c r="AD37" s="20">
        <f>SUM(AD3:AD36)</f>
        <v/>
      </c>
      <c r="AE37" s="36">
        <f>AD37/AD40</f>
        <v/>
      </c>
      <c r="AF37" s="36" t="n"/>
      <c r="AG37" s="37" t="n"/>
      <c r="AH37" s="20">
        <f>SUM(AH3:AH36)</f>
        <v/>
      </c>
      <c r="AI37" s="36">
        <f>AH37/AH40</f>
        <v/>
      </c>
      <c r="AJ37" s="36" t="n"/>
      <c r="AK37" s="37" t="n"/>
      <c r="AL37" s="20">
        <f>SUM(AL3:AL36)</f>
        <v/>
      </c>
      <c r="AM37" s="36">
        <f>AL37/AL40</f>
        <v/>
      </c>
      <c r="AN37" s="36" t="n"/>
      <c r="AO37" s="37" t="n"/>
      <c r="AP37" s="20" t="n"/>
      <c r="AQ37" s="36">
        <f>AM37/AM40</f>
        <v/>
      </c>
      <c r="AR37" s="36" t="n"/>
      <c r="AS37" s="37" t="n"/>
      <c r="AT37" s="20" t="n"/>
      <c r="AU37" s="36">
        <f>AR37/AR40</f>
        <v/>
      </c>
      <c r="AV37" s="36" t="n"/>
      <c r="AW37" s="37" t="n"/>
      <c r="AX37" s="20" t="n"/>
      <c r="AY37" s="36">
        <f>AU37/AU40</f>
        <v/>
      </c>
      <c r="AZ37" s="36" t="n"/>
      <c r="BA37" s="37" t="n"/>
      <c r="BB37" s="20" t="n"/>
      <c r="BC37" s="36">
        <f>BB37/BB40</f>
        <v/>
      </c>
      <c r="BD37" s="36" t="n"/>
      <c r="BE37" s="37" t="n"/>
      <c r="BF37" s="25">
        <f>SUM(J37+N37+R37+V37+Z37+AD37+AH37+AL37+AP37+AT37+AX37+BB37)</f>
        <v/>
      </c>
      <c r="BG37" s="36">
        <f>BF37/BF40</f>
        <v/>
      </c>
      <c r="BI37" s="38" t="n"/>
    </row>
    <row r="38" ht="14.25" customHeight="1" s="62">
      <c r="A38" s="16" t="n">
        <v>5081</v>
      </c>
      <c r="B38" s="17" t="inlineStr">
        <is>
          <t>BONOS PANALAB PAPEL MANUAL</t>
        </is>
      </c>
      <c r="C38" s="17" t="inlineStr">
        <is>
          <t>PANALAB</t>
        </is>
      </c>
      <c r="D38" s="16" t="inlineStr">
        <is>
          <t>SI</t>
        </is>
      </c>
      <c r="E38" s="16" t="inlineStr">
        <is>
          <t>NO</t>
        </is>
      </c>
      <c r="F38" s="16" t="n"/>
      <c r="G38" s="18" t="inlineStr">
        <is>
          <t>Valor fijo por operación</t>
        </is>
      </c>
      <c r="H38" s="17" t="inlineStr">
        <is>
          <t>Mensual por IPC Caba.</t>
        </is>
      </c>
      <c r="I38" s="19" t="inlineStr">
        <is>
          <t>PRODUCTIVO</t>
        </is>
      </c>
      <c r="J38" s="20" t="n">
        <v>63271</v>
      </c>
      <c r="K38" s="21">
        <f>J38/J$37</f>
        <v/>
      </c>
      <c r="L38" s="22" t="n">
        <v>6443666.51</v>
      </c>
      <c r="M38" s="23">
        <f>L38/(J38)</f>
        <v/>
      </c>
      <c r="N38" s="20" t="n">
        <v>82475</v>
      </c>
      <c r="O38" s="21">
        <f>N38/N$37</f>
        <v/>
      </c>
      <c r="P38" s="22" t="n">
        <v>8320434.77</v>
      </c>
      <c r="Q38" s="23">
        <f>P38/N38</f>
        <v/>
      </c>
      <c r="R38" s="20" t="n">
        <v>90524</v>
      </c>
      <c r="S38" s="21">
        <f>R38/R$37</f>
        <v/>
      </c>
      <c r="T38" s="22" t="n">
        <v>9289060.32</v>
      </c>
      <c r="U38" s="23">
        <f>T38/(R38)</f>
        <v/>
      </c>
      <c r="V38" s="20" t="n">
        <v>103401</v>
      </c>
      <c r="W38" s="21">
        <f>V38/V$37</f>
        <v/>
      </c>
      <c r="X38" s="22" t="n">
        <v>10793227.5</v>
      </c>
      <c r="Y38" s="23">
        <f>X38/+V38</f>
        <v/>
      </c>
      <c r="Z38" s="20" t="n"/>
      <c r="AA38" s="21">
        <f>Z38/Z$37</f>
        <v/>
      </c>
      <c r="AB38" s="22" t="n"/>
      <c r="AC38" s="23">
        <f>AB38/Z38</f>
        <v/>
      </c>
      <c r="AD38" s="20" t="n"/>
      <c r="AE38" s="21">
        <f>AD38/AD$37</f>
        <v/>
      </c>
      <c r="AF38" s="22" t="n"/>
      <c r="AG38" s="23">
        <f>AF38/AD38</f>
        <v/>
      </c>
      <c r="AH38" s="20" t="n"/>
      <c r="AI38" s="21">
        <f>AH38/AH$37</f>
        <v/>
      </c>
      <c r="AJ38" s="22" t="n"/>
      <c r="AK38" s="23">
        <f>AJ38/AH38</f>
        <v/>
      </c>
      <c r="AL38" s="20" t="n"/>
      <c r="AM38" s="21">
        <f>AL38/AL$37</f>
        <v/>
      </c>
      <c r="AN38" s="22" t="n"/>
      <c r="AO38" s="23">
        <f>AN38/AL38</f>
        <v/>
      </c>
      <c r="AP38" s="20" t="n"/>
      <c r="AQ38" s="21">
        <f>AP38/AP$37</f>
        <v/>
      </c>
      <c r="AR38" s="24" t="n"/>
      <c r="AS38" s="23" t="n"/>
      <c r="AT38" s="20" t="n"/>
      <c r="AU38" s="21">
        <f>AR38/AR$37</f>
        <v/>
      </c>
      <c r="AV38" s="24" t="n"/>
      <c r="AW38" s="23" t="n"/>
      <c r="AX38" s="20" t="n"/>
      <c r="AY38" s="21">
        <f>AU38/AU$37</f>
        <v/>
      </c>
      <c r="AZ38" s="24" t="n"/>
      <c r="BA38" s="23" t="n"/>
      <c r="BB38" s="20" t="n"/>
      <c r="BC38" s="21">
        <f>BB38/BB$37</f>
        <v/>
      </c>
      <c r="BD38" s="24" t="n"/>
      <c r="BE38" s="23" t="n"/>
      <c r="BF38" s="25">
        <f>SUM(J38+N38+R38+V38+Z38+AD38+AH38+AL38+AP38+AT38+AX38+BB38)</f>
        <v/>
      </c>
      <c r="BG38" s="21">
        <f>BF38/BF$37</f>
        <v/>
      </c>
      <c r="BH38" s="26" t="n"/>
      <c r="BI38" s="27" t="n"/>
    </row>
    <row r="39" ht="14.25" customHeight="1" s="62">
      <c r="A39" s="67" t="inlineStr">
        <is>
          <t>TOTAL MANUAL</t>
        </is>
      </c>
      <c r="B39" s="68" t="n"/>
      <c r="C39" s="16" t="n"/>
      <c r="D39" s="69" t="n"/>
      <c r="E39" s="69" t="n"/>
      <c r="F39" s="69" t="n"/>
      <c r="G39" s="69" t="n"/>
      <c r="H39" s="69" t="n"/>
      <c r="I39" s="68" t="n"/>
      <c r="J39" s="20">
        <f>J38</f>
        <v/>
      </c>
      <c r="K39" s="36">
        <f>J39/J40</f>
        <v/>
      </c>
      <c r="L39" s="36" t="n"/>
      <c r="M39" s="37" t="n"/>
      <c r="N39" s="20">
        <f>N38</f>
        <v/>
      </c>
      <c r="O39" s="36">
        <f>N39/N40</f>
        <v/>
      </c>
      <c r="P39" s="36" t="n"/>
      <c r="Q39" s="37" t="n"/>
      <c r="R39" s="20">
        <f>R38</f>
        <v/>
      </c>
      <c r="S39" s="36">
        <f>R39/R40</f>
        <v/>
      </c>
      <c r="T39" s="36" t="n"/>
      <c r="U39" s="37" t="n"/>
      <c r="V39" s="20">
        <f>V38</f>
        <v/>
      </c>
      <c r="W39" s="36">
        <f>V39/V40</f>
        <v/>
      </c>
      <c r="X39" s="36" t="n"/>
      <c r="Y39" s="37" t="n"/>
      <c r="Z39" s="20" t="n">
        <v>172861</v>
      </c>
      <c r="AA39" s="36">
        <f>Z39/Z40</f>
        <v/>
      </c>
      <c r="AB39" s="36" t="n"/>
      <c r="AC39" s="37" t="n"/>
      <c r="AD39" s="20">
        <f>AD38</f>
        <v/>
      </c>
      <c r="AE39" s="36">
        <f>AD39/AD40</f>
        <v/>
      </c>
      <c r="AF39" s="36" t="n"/>
      <c r="AG39" s="37" t="n"/>
      <c r="AH39" s="20">
        <f>AH38</f>
        <v/>
      </c>
      <c r="AI39" s="36">
        <f>AH39/AH40</f>
        <v/>
      </c>
      <c r="AJ39" s="36" t="n"/>
      <c r="AK39" s="37" t="n"/>
      <c r="AL39" s="20">
        <f>AL38</f>
        <v/>
      </c>
      <c r="AM39" s="36">
        <f>AL39/AL40</f>
        <v/>
      </c>
      <c r="AN39" s="36" t="n"/>
      <c r="AO39" s="37" t="n"/>
      <c r="AP39" s="20" t="n"/>
      <c r="AQ39" s="36">
        <f>AM39/AM40</f>
        <v/>
      </c>
      <c r="AR39" s="36" t="n"/>
      <c r="AS39" s="37" t="n"/>
      <c r="AT39" s="20" t="n"/>
      <c r="AU39" s="36">
        <f>AR39/AR40</f>
        <v/>
      </c>
      <c r="AV39" s="36" t="n"/>
      <c r="AW39" s="37" t="n"/>
      <c r="AX39" s="20" t="n"/>
      <c r="AY39" s="36">
        <f>AU39/AU40</f>
        <v/>
      </c>
      <c r="AZ39" s="36" t="n"/>
      <c r="BA39" s="37" t="n"/>
      <c r="BB39" s="20" t="n"/>
      <c r="BC39" s="36">
        <f>BB39/BB40</f>
        <v/>
      </c>
      <c r="BD39" s="36" t="n"/>
      <c r="BE39" s="37" t="n"/>
      <c r="BF39" s="25">
        <f>SUM(J39+N39+R39+V39+Z39+AD39+AH39+AL39+AP39+AT39+AX39+BB39)</f>
        <v/>
      </c>
      <c r="BG39" s="36">
        <f>BF39/BF40</f>
        <v/>
      </c>
      <c r="BI39" s="38" t="n"/>
    </row>
    <row r="40" ht="14.25" customHeight="1" s="62">
      <c r="A40" s="70" t="inlineStr">
        <is>
          <t xml:space="preserve">TOTAL </t>
        </is>
      </c>
      <c r="B40" s="68" t="n"/>
      <c r="C40" s="16" t="n"/>
      <c r="D40" s="69" t="n"/>
      <c r="E40" s="69" t="n"/>
      <c r="F40" s="69" t="n"/>
      <c r="G40" s="69" t="n"/>
      <c r="H40" s="69" t="n"/>
      <c r="I40" s="68" t="n"/>
      <c r="J40" s="41">
        <f>J37+J39</f>
        <v/>
      </c>
      <c r="K40" s="42" t="n"/>
      <c r="L40" s="42" t="n"/>
      <c r="M40" s="43" t="n"/>
      <c r="N40" s="41">
        <f>N37+N39</f>
        <v/>
      </c>
      <c r="O40" s="42" t="n"/>
      <c r="P40" s="42" t="n"/>
      <c r="Q40" s="43" t="n"/>
      <c r="R40" s="41">
        <f>R37+R39</f>
        <v/>
      </c>
      <c r="S40" s="42" t="n"/>
      <c r="T40" s="42" t="n"/>
      <c r="U40" s="43" t="n"/>
      <c r="V40" s="41">
        <f>V37+V39</f>
        <v/>
      </c>
      <c r="W40" s="42" t="n"/>
      <c r="X40" s="42" t="n"/>
      <c r="Y40" s="43" t="n"/>
      <c r="Z40" s="41">
        <f>Z37+Z39</f>
        <v/>
      </c>
      <c r="AA40" s="42" t="n"/>
      <c r="AB40" s="42" t="n"/>
      <c r="AC40" s="43" t="n"/>
      <c r="AD40" s="41">
        <f>AD37+AD39</f>
        <v/>
      </c>
      <c r="AE40" s="42" t="n"/>
      <c r="AF40" s="42" t="n"/>
      <c r="AG40" s="43" t="n"/>
      <c r="AH40" s="41">
        <f>AH37+AH39</f>
        <v/>
      </c>
      <c r="AI40" s="42" t="n"/>
      <c r="AJ40" s="42" t="n"/>
      <c r="AK40" s="43" t="n"/>
      <c r="AL40" s="41">
        <f>AL37+AL39</f>
        <v/>
      </c>
      <c r="AM40" s="42" t="n"/>
      <c r="AN40" s="42" t="n"/>
      <c r="AO40" s="43" t="n"/>
      <c r="AP40" s="41" t="n"/>
      <c r="AQ40" s="42" t="n"/>
      <c r="AR40" s="42" t="n"/>
      <c r="AS40" s="43" t="n"/>
      <c r="AT40" s="41" t="n"/>
      <c r="AU40" s="42" t="n"/>
      <c r="AV40" s="42" t="n"/>
      <c r="AW40" s="43" t="n"/>
      <c r="AX40" s="41" t="n"/>
      <c r="AY40" s="42" t="n"/>
      <c r="AZ40" s="42" t="n"/>
      <c r="BA40" s="43" t="n"/>
      <c r="BB40" s="41" t="n"/>
      <c r="BC40" s="42" t="n"/>
      <c r="BD40" s="42" t="n"/>
      <c r="BE40" s="43" t="n"/>
      <c r="BF40" s="44">
        <f>SUM(J40+N40+R40+V40+Z40+AD40+AH40+AL40+AP40+AT40+AX40+BB40)</f>
        <v/>
      </c>
      <c r="BG40" s="42" t="n"/>
      <c r="BH40" s="45" t="n"/>
      <c r="BI40" s="46" t="n"/>
    </row>
    <row r="41" ht="14.25" customHeight="1" s="62">
      <c r="A41" s="1" t="n"/>
    </row>
    <row r="42" ht="14.25" customHeight="1" s="62">
      <c r="A42" s="71" t="inlineStr">
        <is>
          <t>NUEVOS LABORATORIOS / CLIENTES 2026 (no incluidos en totales de arriba)</t>
        </is>
      </c>
      <c r="P42" s="26" t="n"/>
    </row>
    <row r="43" ht="14.25" customHeight="1" s="62">
      <c r="A43" s="1" t="n">
        <v>5300</v>
      </c>
      <c r="B43" s="0" t="inlineStr">
        <is>
          <t>LAZAR (Fase 1 Startup)</t>
        </is>
      </c>
      <c r="C43" s="0" t="inlineStr">
        <is>
          <t>LAZAR</t>
        </is>
      </c>
      <c r="D43" s="0" t="inlineStr">
        <is>
          <t>SI</t>
        </is>
      </c>
      <c r="E43" s="0" t="inlineStr">
        <is>
          <t>NO</t>
        </is>
      </c>
      <c r="F43" s="0" t="inlineStr"/>
      <c r="G43" s="0" t="inlineStr">
        <is>
          <t>Abono startup; luego % PVP con mínimo</t>
        </is>
      </c>
      <c r="H43" s="0" t="inlineStr">
        <is>
          <t>Mensual</t>
        </is>
      </c>
      <c r="I43" s="0" t="inlineStr">
        <is>
          <t>STARTUP</t>
        </is>
      </c>
      <c r="L43" s="72" t="n">
        <v>500000</v>
      </c>
      <c r="V43" s="0" t="n">
        <v>252</v>
      </c>
      <c r="X43" s="72" t="n">
        <v>344079.51</v>
      </c>
      <c r="Y43" s="73" t="n">
        <v>1365.39</v>
      </c>
      <c r="AD43" s="47" t="n"/>
      <c r="AG43" s="47" t="n"/>
      <c r="AH43" s="47" t="n"/>
      <c r="AI43" s="47" t="n"/>
      <c r="AJ43" s="47" t="n"/>
      <c r="AK43" s="47" t="n"/>
      <c r="AL43" s="47" t="n"/>
      <c r="AN43" s="47" t="n"/>
      <c r="AO43" s="47" t="n"/>
      <c r="AP43" s="47" t="n"/>
      <c r="AQ43" s="47" t="n"/>
      <c r="AR43" s="47" t="n"/>
      <c r="AS43" s="47" t="n"/>
      <c r="AT43" s="47" t="n"/>
      <c r="AU43" s="47" t="n"/>
      <c r="AV43" s="47" t="n"/>
      <c r="AW43" s="47" t="n"/>
      <c r="AX43" s="47" t="n"/>
      <c r="BF43" s="0" t="n">
        <v>252</v>
      </c>
      <c r="BH43" s="72" t="n">
        <v>844079.51</v>
      </c>
      <c r="BI43" s="73" t="n">
        <v>3349.52</v>
      </c>
    </row>
    <row r="44" ht="14.25" customHeight="1" s="62">
      <c r="A44" s="1" t="n">
        <v>5240</v>
      </c>
      <c r="B44" s="0" t="inlineStr">
        <is>
          <t>BONOS RAISSE</t>
        </is>
      </c>
      <c r="C44" s="0" t="inlineStr">
        <is>
          <t>RAISSE</t>
        </is>
      </c>
      <c r="D44" s="0" t="inlineStr">
        <is>
          <t>NO</t>
        </is>
      </c>
      <c r="E44" s="0" t="inlineStr">
        <is>
          <t>NO</t>
        </is>
      </c>
      <c r="F44" s="0" t="inlineStr">
        <is>
          <t>SI - DINAMICAS - BONOS</t>
        </is>
      </c>
      <c r="G44" s="0" t="inlineStr">
        <is>
          <t>Facturado vía Avanter - valor unitario por TRX</t>
        </is>
      </c>
      <c r="H44" s="0" t="inlineStr">
        <is>
          <t>Trimestral por IPC Indec</t>
        </is>
      </c>
      <c r="I44" s="0" t="inlineStr">
        <is>
          <t>STARTUP</t>
        </is>
      </c>
      <c r="J44" s="0" t="n">
        <v>167</v>
      </c>
      <c r="L44" s="72" t="n">
        <v>12358</v>
      </c>
      <c r="M44" s="73" t="n">
        <v>74</v>
      </c>
      <c r="N44" s="0" t="n">
        <v>356</v>
      </c>
      <c r="P44" s="72" t="n">
        <v>26344</v>
      </c>
      <c r="Q44" s="73" t="n">
        <v>74</v>
      </c>
      <c r="AD44" s="47" t="n"/>
      <c r="AG44" s="47" t="n"/>
      <c r="AH44" s="47" t="n"/>
      <c r="AI44" s="47" t="n"/>
      <c r="AJ44" s="47" t="n"/>
      <c r="AK44" s="47" t="n"/>
      <c r="AL44" s="47" t="n"/>
      <c r="AN44" s="47" t="n"/>
      <c r="AO44" s="47" t="n"/>
      <c r="AP44" s="47" t="n"/>
      <c r="AQ44" s="47" t="n"/>
      <c r="AR44" s="47" t="n"/>
      <c r="AS44" s="47" t="n"/>
      <c r="AT44" s="47" t="n"/>
      <c r="AU44" s="47" t="n"/>
      <c r="AV44" s="47" t="n"/>
      <c r="AW44" s="47" t="n"/>
      <c r="AX44" s="47" t="n"/>
      <c r="BF44" s="0" t="n">
        <v>523</v>
      </c>
      <c r="BH44" s="72" t="n">
        <v>38702</v>
      </c>
      <c r="BI44" s="73" t="n">
        <v>74</v>
      </c>
    </row>
    <row r="45" ht="14.25" customHeight="1" s="62">
      <c r="A45" s="1" t="n">
        <v>5250</v>
      </c>
      <c r="B45" s="0" t="inlineStr">
        <is>
          <t>BONOS SISCOM (Rayito de Sol)</t>
        </is>
      </c>
      <c r="C45" s="0" t="inlineStr">
        <is>
          <t>SISCOM</t>
        </is>
      </c>
      <c r="D45" s="0" t="inlineStr">
        <is>
          <t>NO</t>
        </is>
      </c>
      <c r="E45" s="0" t="inlineStr">
        <is>
          <t>NO</t>
        </is>
      </c>
      <c r="F45" s="0" t="inlineStr">
        <is>
          <t>SI - DINAMICAS - BONOS</t>
        </is>
      </c>
      <c r="G45" s="0" t="inlineStr">
        <is>
          <t>Facturado vía Avanter - valor unitario por TRX</t>
        </is>
      </c>
      <c r="H45" s="0" t="inlineStr">
        <is>
          <t>Trimestral por IPC Indec</t>
        </is>
      </c>
      <c r="I45" s="0" t="inlineStr">
        <is>
          <t>STARTUP</t>
        </is>
      </c>
      <c r="J45" s="0" t="n">
        <v>0</v>
      </c>
      <c r="L45" s="72" t="n">
        <v>0</v>
      </c>
      <c r="N45" s="0" t="n">
        <v>0</v>
      </c>
      <c r="P45" s="72" t="n">
        <v>0</v>
      </c>
      <c r="Q45" s="48" t="n"/>
      <c r="V45" s="0" t="n">
        <v>1</v>
      </c>
      <c r="X45" s="72" t="n">
        <v>93</v>
      </c>
      <c r="Y45" s="73" t="n">
        <v>93</v>
      </c>
      <c r="BF45" s="0" t="n">
        <v>1</v>
      </c>
      <c r="BH45" s="72" t="n">
        <v>93</v>
      </c>
      <c r="BI45" s="73" t="n">
        <v>93</v>
      </c>
    </row>
    <row r="46" ht="14.25" customHeight="1" s="62">
      <c r="A46" s="1" t="n">
        <v>5260</v>
      </c>
      <c r="B46" s="0" t="inlineStr">
        <is>
          <t>BONOS ENA (alta 22/04/2026)</t>
        </is>
      </c>
      <c r="C46" s="0" t="inlineStr">
        <is>
          <t>ENA</t>
        </is>
      </c>
      <c r="D46" s="0" t="inlineStr">
        <is>
          <t>NO</t>
        </is>
      </c>
      <c r="E46" s="0" t="inlineStr">
        <is>
          <t>NO</t>
        </is>
      </c>
      <c r="F46" s="0" t="inlineStr"/>
      <c r="G46" s="0" t="inlineStr">
        <is>
          <t>Alta laboratorio nuevo - Avanter</t>
        </is>
      </c>
      <c r="H46" s="0" t="inlineStr">
        <is>
          <t>Mensual</t>
        </is>
      </c>
      <c r="I46" s="0" t="inlineStr">
        <is>
          <t>STARTUP</t>
        </is>
      </c>
      <c r="Q46" s="48" t="n"/>
      <c r="X46" s="72" t="n">
        <v>547420.8</v>
      </c>
      <c r="BH46" s="72" t="n">
        <v>547420.8</v>
      </c>
    </row>
    <row r="47" ht="14.25" customHeight="1" s="62">
      <c r="A47" s="1" t="n">
        <v>5270</v>
      </c>
      <c r="B47" s="0" t="inlineStr">
        <is>
          <t>BONOS CONVATEC (alta 24/04/2026)</t>
        </is>
      </c>
      <c r="C47" s="0" t="inlineStr">
        <is>
          <t>CONVATEC</t>
        </is>
      </c>
      <c r="D47" s="0" t="inlineStr">
        <is>
          <t>NO</t>
        </is>
      </c>
      <c r="E47" s="0" t="inlineStr">
        <is>
          <t>NO</t>
        </is>
      </c>
      <c r="F47" s="0" t="inlineStr"/>
      <c r="G47" s="0" t="inlineStr">
        <is>
          <t>Alta laboratorio nuevo - Avanter</t>
        </is>
      </c>
      <c r="H47" s="0" t="inlineStr">
        <is>
          <t>Mensual</t>
        </is>
      </c>
      <c r="I47" s="0" t="inlineStr">
        <is>
          <t>STARTUP</t>
        </is>
      </c>
      <c r="Q47" s="48" t="n"/>
      <c r="X47" s="72" t="n">
        <v>547420.8</v>
      </c>
      <c r="BH47" s="72" t="n">
        <v>547420.8</v>
      </c>
    </row>
    <row r="48" ht="14.25" customHeight="1" s="62">
      <c r="A48" s="1" t="n">
        <v>5220</v>
      </c>
      <c r="B48" s="0" t="inlineStr">
        <is>
          <t>BONOS MEGALABS</t>
        </is>
      </c>
      <c r="C48" s="0" t="inlineStr">
        <is>
          <t>MEGALABS</t>
        </is>
      </c>
      <c r="D48" s="0" t="inlineStr">
        <is>
          <t>NO</t>
        </is>
      </c>
      <c r="E48" s="0" t="inlineStr">
        <is>
          <t>NO</t>
        </is>
      </c>
      <c r="F48" s="0" t="inlineStr">
        <is>
          <t>SI - DINAMICAS - BONOS</t>
        </is>
      </c>
      <c r="G48" s="0" t="inlineStr">
        <is>
          <t>Facturado vía Avanter</t>
        </is>
      </c>
      <c r="H48" s="0" t="inlineStr">
        <is>
          <t>Trimestral por IPC Indec</t>
        </is>
      </c>
      <c r="I48" s="0" t="inlineStr">
        <is>
          <t>STARTUP</t>
        </is>
      </c>
      <c r="J48" s="0" t="n">
        <v>0</v>
      </c>
      <c r="L48" s="72" t="n">
        <v>0</v>
      </c>
      <c r="N48" s="0" t="n">
        <v>0</v>
      </c>
      <c r="P48" s="72" t="n">
        <v>0</v>
      </c>
      <c r="Q48" s="48" t="n"/>
    </row>
    <row r="49" ht="14.25" customHeight="1" s="62">
      <c r="A49" s="1" t="n">
        <v>5230</v>
      </c>
      <c r="B49" s="0" t="inlineStr">
        <is>
          <t>BONOS SIEGFRIED</t>
        </is>
      </c>
      <c r="C49" s="0" t="inlineStr">
        <is>
          <t>SIEGFRIED</t>
        </is>
      </c>
      <c r="D49" s="0" t="inlineStr">
        <is>
          <t>NO</t>
        </is>
      </c>
      <c r="E49" s="0" t="inlineStr">
        <is>
          <t>NO</t>
        </is>
      </c>
      <c r="F49" s="0" t="inlineStr">
        <is>
          <t>SI - DINAMICAS - BONOS</t>
        </is>
      </c>
      <c r="G49" s="0" t="inlineStr">
        <is>
          <t>Facturado vía Avanter</t>
        </is>
      </c>
      <c r="H49" s="0" t="inlineStr">
        <is>
          <t>Trimestral por IPC Indec</t>
        </is>
      </c>
      <c r="I49" s="0" t="inlineStr">
        <is>
          <t>STARTUP</t>
        </is>
      </c>
      <c r="J49" s="0" t="n">
        <v>0</v>
      </c>
      <c r="L49" s="72" t="n">
        <v>0</v>
      </c>
      <c r="Q49" s="48" t="n"/>
    </row>
    <row r="50" ht="14.25" customHeight="1" s="62">
      <c r="A50" s="1" t="inlineStr">
        <is>
          <t>5120</t>
        </is>
      </c>
      <c r="B50" s="0" t="inlineStr">
        <is>
          <t>BONOS CEODERMA - VIA AVANTER (solo enero)</t>
        </is>
      </c>
      <c r="C50" s="0" t="inlineStr">
        <is>
          <t>CEODERMA</t>
        </is>
      </c>
      <c r="D50" s="0" t="inlineStr">
        <is>
          <t>NO</t>
        </is>
      </c>
      <c r="E50" s="0" t="inlineStr">
        <is>
          <t>NO</t>
        </is>
      </c>
      <c r="F50" s="0" t="inlineStr">
        <is>
          <t>SI - ETICOS</t>
        </is>
      </c>
      <c r="G50" s="0" t="inlineStr">
        <is>
          <t>Facturado vía Avanter - valor unitario por TRX</t>
        </is>
      </c>
      <c r="H50" s="0" t="inlineStr">
        <is>
          <t>Trimestral por IPC Indec</t>
        </is>
      </c>
      <c r="I50" s="0" t="inlineStr">
        <is>
          <t>PRODUCTIVO</t>
        </is>
      </c>
      <c r="J50" s="0" t="n">
        <v>355</v>
      </c>
      <c r="L50" s="72" t="n">
        <v>26270</v>
      </c>
      <c r="M50" s="73" t="n">
        <v>74</v>
      </c>
      <c r="Q50" s="48" t="n"/>
      <c r="BF50" s="0" t="n">
        <v>355</v>
      </c>
      <c r="BH50" s="72" t="n">
        <v>26270</v>
      </c>
      <c r="BI50" s="73" t="n">
        <v>74</v>
      </c>
    </row>
    <row r="51" ht="14.25" customHeight="1" s="62">
      <c r="A51" s="1" t="n"/>
      <c r="Q51" s="48" t="n"/>
    </row>
    <row r="52" ht="14.25" customHeight="1" s="62">
      <c r="A52" s="1" t="n"/>
    </row>
    <row r="53" ht="14.25" customHeight="1" s="62">
      <c r="A53" s="1" t="n"/>
    </row>
    <row r="54" ht="14.25" customHeight="1" s="62">
      <c r="A54" s="1" t="n"/>
    </row>
    <row r="55" ht="14.25" customHeight="1" s="62">
      <c r="A55" s="1" t="n"/>
    </row>
    <row r="56" ht="14.25" customHeight="1" s="62">
      <c r="A56" s="1" t="n"/>
    </row>
    <row r="57" ht="14.25" customHeight="1" s="62">
      <c r="A57" s="1" t="n"/>
    </row>
    <row r="58" ht="14.25" customHeight="1" s="62">
      <c r="A58" s="1" t="n"/>
    </row>
    <row r="59" ht="14.25" customHeight="1" s="62">
      <c r="A59" s="1" t="n"/>
    </row>
    <row r="60" ht="14.25" customHeight="1" s="62">
      <c r="A60" s="1" t="n"/>
    </row>
    <row r="61" ht="14.25" customHeight="1" s="62">
      <c r="A61" s="1" t="n"/>
    </row>
    <row r="62" ht="14.25" customHeight="1" s="62">
      <c r="A62" s="1" t="n"/>
    </row>
    <row r="63" ht="14.25" customHeight="1" s="62">
      <c r="A63" s="1" t="n"/>
    </row>
    <row r="64" ht="14.25" customHeight="1" s="62">
      <c r="A64" s="1" t="n"/>
    </row>
    <row r="65" ht="14.25" customHeight="1" s="62">
      <c r="A65" s="1" t="n"/>
    </row>
    <row r="66" ht="14.25" customHeight="1" s="62">
      <c r="A66" s="1" t="n"/>
    </row>
    <row r="67" ht="14.25" customHeight="1" s="62">
      <c r="A67" s="1" t="n"/>
    </row>
    <row r="68" ht="14.25" customHeight="1" s="62">
      <c r="A68" s="1" t="n"/>
    </row>
    <row r="69" ht="14.25" customHeight="1" s="62">
      <c r="A69" s="1" t="n"/>
    </row>
    <row r="70" ht="14.25" customHeight="1" s="62">
      <c r="A70" s="1" t="n"/>
    </row>
    <row r="71" ht="14.25" customHeight="1" s="62">
      <c r="A71" s="1" t="n"/>
    </row>
    <row r="72" ht="14.25" customHeight="1" s="62">
      <c r="A72" s="1" t="n"/>
    </row>
    <row r="73" ht="14.25" customHeight="1" s="62">
      <c r="A73" s="1" t="n"/>
    </row>
    <row r="74" ht="14.25" customHeight="1" s="62">
      <c r="A74" s="1" t="n"/>
    </row>
    <row r="75" ht="14.25" customHeight="1" s="62">
      <c r="A75" s="1" t="n"/>
    </row>
    <row r="76" ht="14.25" customHeight="1" s="62">
      <c r="A76" s="1" t="n"/>
    </row>
    <row r="77" ht="14.25" customHeight="1" s="62">
      <c r="A77" s="1" t="n"/>
    </row>
    <row r="78" ht="14.25" customHeight="1" s="62">
      <c r="A78" s="1" t="n"/>
    </row>
    <row r="79" ht="14.25" customHeight="1" s="62">
      <c r="A79" s="1" t="n"/>
    </row>
    <row r="80" ht="14.25" customHeight="1" s="62">
      <c r="A80" s="1" t="n"/>
    </row>
    <row r="81" ht="14.25" customHeight="1" s="62">
      <c r="A81" s="1" t="n"/>
    </row>
    <row r="82" ht="14.25" customHeight="1" s="62">
      <c r="A82" s="1" t="n"/>
    </row>
    <row r="83" ht="14.25" customHeight="1" s="62">
      <c r="A83" s="1" t="n"/>
    </row>
    <row r="84" ht="14.25" customHeight="1" s="62">
      <c r="A84" s="1" t="n"/>
    </row>
    <row r="85" ht="14.25" customHeight="1" s="62">
      <c r="A85" s="1" t="n"/>
    </row>
    <row r="86" ht="14.25" customHeight="1" s="62">
      <c r="A86" s="1" t="n"/>
    </row>
    <row r="87" ht="14.25" customHeight="1" s="62">
      <c r="A87" s="1" t="n"/>
    </row>
    <row r="88" ht="14.25" customHeight="1" s="62">
      <c r="A88" s="1" t="n"/>
    </row>
    <row r="89" ht="14.25" customHeight="1" s="62">
      <c r="A89" s="1" t="n"/>
    </row>
    <row r="90" ht="14.25" customHeight="1" s="62">
      <c r="A90" s="1" t="n"/>
    </row>
    <row r="91" ht="14.25" customHeight="1" s="62">
      <c r="A91" s="1" t="n"/>
    </row>
    <row r="92" ht="14.25" customHeight="1" s="62">
      <c r="A92" s="1" t="n"/>
    </row>
    <row r="93" ht="14.25" customHeight="1" s="62">
      <c r="A93" s="1" t="n"/>
    </row>
    <row r="94" ht="14.25" customHeight="1" s="62">
      <c r="A94" s="1" t="n"/>
    </row>
    <row r="95" ht="14.25" customHeight="1" s="62">
      <c r="A95" s="1" t="n"/>
    </row>
    <row r="96" ht="14.25" customHeight="1" s="62">
      <c r="A96" s="1" t="n"/>
    </row>
    <row r="97" ht="14.25" customHeight="1" s="62">
      <c r="A97" s="1" t="n"/>
    </row>
    <row r="98" ht="14.25" customHeight="1" s="62">
      <c r="A98" s="1" t="n"/>
    </row>
    <row r="99" ht="14.25" customHeight="1" s="62">
      <c r="A99" s="1" t="n"/>
    </row>
    <row r="100" ht="14.25" customHeight="1" s="62">
      <c r="A100" s="1" t="n"/>
    </row>
    <row r="101" ht="14.25" customHeight="1" s="62">
      <c r="A101" s="1" t="n"/>
    </row>
    <row r="102" ht="14.25" customHeight="1" s="62">
      <c r="A102" s="1" t="n"/>
    </row>
    <row r="103" ht="14.25" customHeight="1" s="62">
      <c r="A103" s="1" t="n"/>
    </row>
    <row r="104" ht="14.25" customHeight="1" s="62">
      <c r="A104" s="1" t="n"/>
    </row>
    <row r="105" ht="14.25" customHeight="1" s="62">
      <c r="A105" s="1" t="n"/>
    </row>
    <row r="106" ht="14.25" customHeight="1" s="62">
      <c r="A106" s="1" t="n"/>
    </row>
    <row r="107" ht="14.25" customHeight="1" s="62">
      <c r="A107" s="1" t="n"/>
    </row>
    <row r="108" ht="14.25" customHeight="1" s="62">
      <c r="A108" s="1" t="n"/>
    </row>
    <row r="109" ht="14.25" customHeight="1" s="62">
      <c r="A109" s="1" t="n"/>
    </row>
    <row r="110" ht="14.25" customHeight="1" s="62">
      <c r="A110" s="1" t="n"/>
    </row>
    <row r="111" ht="14.25" customHeight="1" s="62">
      <c r="A111" s="1" t="n"/>
    </row>
    <row r="112" ht="14.25" customHeight="1" s="62">
      <c r="A112" s="1" t="n"/>
    </row>
    <row r="113" ht="14.25" customHeight="1" s="62">
      <c r="A113" s="1" t="n"/>
    </row>
    <row r="114" ht="14.25" customHeight="1" s="62">
      <c r="A114" s="1" t="n"/>
    </row>
    <row r="115" ht="14.25" customHeight="1" s="62">
      <c r="A115" s="1" t="n"/>
    </row>
    <row r="116" ht="14.25" customHeight="1" s="62">
      <c r="A116" s="1" t="n"/>
    </row>
    <row r="117" ht="14.25" customHeight="1" s="62">
      <c r="A117" s="1" t="n"/>
    </row>
    <row r="118" ht="14.25" customHeight="1" s="62">
      <c r="A118" s="1" t="n"/>
    </row>
    <row r="119" ht="14.25" customHeight="1" s="62">
      <c r="A119" s="1" t="n"/>
    </row>
    <row r="120" ht="14.25" customHeight="1" s="62">
      <c r="A120" s="1" t="n"/>
    </row>
    <row r="121" ht="14.25" customHeight="1" s="62">
      <c r="A121" s="1" t="n"/>
    </row>
    <row r="122" ht="14.25" customHeight="1" s="62">
      <c r="A122" s="1" t="n"/>
    </row>
    <row r="123" ht="14.25" customHeight="1" s="62">
      <c r="A123" s="1" t="n"/>
    </row>
    <row r="124" ht="14.25" customHeight="1" s="62">
      <c r="A124" s="1" t="n"/>
    </row>
    <row r="125" ht="14.25" customHeight="1" s="62">
      <c r="A125" s="1" t="n"/>
    </row>
    <row r="126" ht="14.25" customHeight="1" s="62">
      <c r="A126" s="1" t="n"/>
    </row>
    <row r="127" ht="14.25" customHeight="1" s="62">
      <c r="A127" s="1" t="n"/>
    </row>
    <row r="128" ht="14.25" customHeight="1" s="62">
      <c r="A128" s="1" t="n"/>
    </row>
    <row r="129" ht="14.25" customHeight="1" s="62">
      <c r="A129" s="1" t="n"/>
    </row>
    <row r="130" ht="14.25" customHeight="1" s="62">
      <c r="A130" s="1" t="n"/>
    </row>
    <row r="131" ht="14.25" customHeight="1" s="62">
      <c r="A131" s="1" t="n"/>
    </row>
    <row r="132" ht="14.25" customHeight="1" s="62">
      <c r="A132" s="1" t="n"/>
    </row>
    <row r="133" ht="14.25" customHeight="1" s="62">
      <c r="A133" s="1" t="n"/>
    </row>
    <row r="134" ht="14.25" customHeight="1" s="62">
      <c r="A134" s="1" t="n"/>
    </row>
    <row r="135" ht="14.25" customHeight="1" s="62">
      <c r="A135" s="1" t="n"/>
    </row>
    <row r="136" ht="14.25" customHeight="1" s="62">
      <c r="A136" s="1" t="n"/>
    </row>
    <row r="137" ht="14.25" customHeight="1" s="62">
      <c r="A137" s="1" t="n"/>
    </row>
    <row r="138" ht="14.25" customHeight="1" s="62">
      <c r="A138" s="1" t="n"/>
    </row>
    <row r="139" ht="14.25" customHeight="1" s="62">
      <c r="A139" s="1" t="n"/>
    </row>
    <row r="140" ht="14.25" customHeight="1" s="62">
      <c r="A140" s="1" t="n"/>
    </row>
    <row r="141" ht="14.25" customHeight="1" s="62">
      <c r="A141" s="1" t="n"/>
    </row>
    <row r="142" ht="14.25" customHeight="1" s="62">
      <c r="A142" s="1" t="n"/>
    </row>
    <row r="143" ht="14.25" customHeight="1" s="62">
      <c r="A143" s="1" t="n"/>
    </row>
    <row r="144" ht="14.25" customHeight="1" s="62">
      <c r="A144" s="1" t="n"/>
    </row>
    <row r="145" ht="14.25" customHeight="1" s="62">
      <c r="A145" s="1" t="n"/>
    </row>
    <row r="146" ht="14.25" customHeight="1" s="62">
      <c r="A146" s="1" t="n"/>
    </row>
    <row r="147" ht="14.25" customHeight="1" s="62">
      <c r="A147" s="1" t="n"/>
    </row>
    <row r="148" ht="14.25" customHeight="1" s="62">
      <c r="A148" s="1" t="n"/>
    </row>
    <row r="149" ht="14.25" customHeight="1" s="62">
      <c r="A149" s="1" t="n"/>
    </row>
    <row r="150" ht="14.25" customHeight="1" s="62">
      <c r="A150" s="1" t="n"/>
    </row>
    <row r="151" ht="14.25" customHeight="1" s="62">
      <c r="A151" s="1" t="n"/>
    </row>
    <row r="152" ht="14.25" customHeight="1" s="62">
      <c r="A152" s="1" t="n"/>
    </row>
    <row r="153" ht="14.25" customHeight="1" s="62">
      <c r="A153" s="1" t="n"/>
    </row>
    <row r="154" ht="14.25" customHeight="1" s="62">
      <c r="A154" s="1" t="n"/>
    </row>
    <row r="155" ht="14.25" customHeight="1" s="62">
      <c r="A155" s="1" t="n"/>
    </row>
    <row r="156" ht="14.25" customHeight="1" s="62">
      <c r="A156" s="1" t="n"/>
    </row>
    <row r="157" ht="14.25" customHeight="1" s="62">
      <c r="A157" s="1" t="n"/>
    </row>
    <row r="158" ht="14.25" customHeight="1" s="62">
      <c r="A158" s="1" t="n"/>
    </row>
    <row r="159" ht="14.25" customHeight="1" s="62">
      <c r="A159" s="1" t="n"/>
    </row>
    <row r="160" ht="14.25" customHeight="1" s="62">
      <c r="A160" s="1" t="n"/>
    </row>
    <row r="161" ht="14.25" customHeight="1" s="62">
      <c r="A161" s="1" t="n"/>
    </row>
    <row r="162" ht="14.25" customHeight="1" s="62">
      <c r="A162" s="1" t="n"/>
    </row>
    <row r="163" ht="14.25" customHeight="1" s="62">
      <c r="A163" s="1" t="n"/>
    </row>
    <row r="164" ht="14.25" customHeight="1" s="62">
      <c r="A164" s="1" t="n"/>
    </row>
    <row r="165" ht="14.25" customHeight="1" s="62">
      <c r="A165" s="1" t="n"/>
    </row>
    <row r="166" ht="14.25" customHeight="1" s="62">
      <c r="A166" s="1" t="n"/>
    </row>
    <row r="167" ht="14.25" customHeight="1" s="62">
      <c r="A167" s="1" t="n"/>
    </row>
    <row r="168" ht="14.25" customHeight="1" s="62">
      <c r="A168" s="1" t="n"/>
    </row>
    <row r="169" ht="14.25" customHeight="1" s="62">
      <c r="A169" s="1" t="n"/>
    </row>
    <row r="170" ht="14.25" customHeight="1" s="62">
      <c r="A170" s="1" t="n"/>
    </row>
    <row r="171" ht="14.25" customHeight="1" s="62">
      <c r="A171" s="1" t="n"/>
    </row>
    <row r="172" ht="14.25" customHeight="1" s="62">
      <c r="A172" s="1" t="n"/>
    </row>
    <row r="173" ht="14.25" customHeight="1" s="62">
      <c r="A173" s="1" t="n"/>
    </row>
    <row r="174" ht="14.25" customHeight="1" s="62">
      <c r="A174" s="1" t="n"/>
    </row>
    <row r="175" ht="14.25" customHeight="1" s="62">
      <c r="A175" s="1" t="n"/>
    </row>
    <row r="176" ht="14.25" customHeight="1" s="62">
      <c r="A176" s="1" t="n"/>
    </row>
    <row r="177" ht="14.25" customHeight="1" s="62">
      <c r="A177" s="1" t="n"/>
    </row>
    <row r="178" ht="14.25" customHeight="1" s="62">
      <c r="A178" s="1" t="n"/>
    </row>
    <row r="179" ht="14.25" customHeight="1" s="62">
      <c r="A179" s="1" t="n"/>
    </row>
    <row r="180" ht="14.25" customHeight="1" s="62">
      <c r="A180" s="1" t="n"/>
    </row>
    <row r="181" ht="14.25" customHeight="1" s="62">
      <c r="A181" s="1" t="n"/>
    </row>
    <row r="182" ht="14.25" customHeight="1" s="62">
      <c r="A182" s="1" t="n"/>
    </row>
    <row r="183" ht="14.25" customHeight="1" s="62">
      <c r="A183" s="1" t="n"/>
    </row>
    <row r="184" ht="14.25" customHeight="1" s="62">
      <c r="A184" s="1" t="n"/>
    </row>
    <row r="185" ht="14.25" customHeight="1" s="62">
      <c r="A185" s="1" t="n"/>
    </row>
    <row r="186" ht="14.25" customHeight="1" s="62">
      <c r="A186" s="1" t="n"/>
    </row>
    <row r="187" ht="14.25" customHeight="1" s="62">
      <c r="A187" s="1" t="n"/>
    </row>
    <row r="188" ht="14.25" customHeight="1" s="62">
      <c r="A188" s="1" t="n"/>
    </row>
    <row r="189" ht="14.25" customHeight="1" s="62">
      <c r="A189" s="1" t="n"/>
    </row>
    <row r="190" ht="14.25" customHeight="1" s="62">
      <c r="A190" s="1" t="n"/>
    </row>
    <row r="191" ht="14.25" customHeight="1" s="62">
      <c r="A191" s="1" t="n"/>
    </row>
    <row r="192" ht="14.25" customHeight="1" s="62">
      <c r="A192" s="1" t="n"/>
    </row>
    <row r="193" ht="14.25" customHeight="1" s="62">
      <c r="A193" s="1" t="n"/>
    </row>
    <row r="194" ht="14.25" customHeight="1" s="62">
      <c r="A194" s="1" t="n"/>
    </row>
    <row r="195" ht="14.25" customHeight="1" s="62">
      <c r="A195" s="1" t="n"/>
    </row>
    <row r="196" ht="14.25" customHeight="1" s="62">
      <c r="A196" s="1" t="n"/>
    </row>
    <row r="197" ht="14.25" customHeight="1" s="62">
      <c r="A197" s="1" t="n"/>
    </row>
    <row r="198" ht="14.25" customHeight="1" s="62">
      <c r="A198" s="1" t="n"/>
    </row>
    <row r="199" ht="14.25" customHeight="1" s="62">
      <c r="A199" s="1" t="n"/>
    </row>
    <row r="200" ht="14.25" customHeight="1" s="62">
      <c r="A200" s="1" t="n"/>
    </row>
    <row r="201" ht="14.25" customHeight="1" s="62">
      <c r="A201" s="1" t="n"/>
    </row>
    <row r="202" ht="14.25" customHeight="1" s="62">
      <c r="A202" s="1" t="n"/>
    </row>
    <row r="203" ht="14.25" customHeight="1" s="62">
      <c r="A203" s="1" t="n"/>
    </row>
    <row r="204" ht="14.25" customHeight="1" s="62">
      <c r="A204" s="1" t="n"/>
    </row>
    <row r="205" ht="14.25" customHeight="1" s="62">
      <c r="A205" s="1" t="n"/>
    </row>
    <row r="206" ht="14.25" customHeight="1" s="62">
      <c r="A206" s="1" t="n"/>
    </row>
    <row r="207" ht="14.25" customHeight="1" s="62">
      <c r="A207" s="1" t="n"/>
    </row>
    <row r="208" ht="14.25" customHeight="1" s="62">
      <c r="A208" s="1" t="n"/>
    </row>
    <row r="209" ht="14.25" customHeight="1" s="62">
      <c r="A209" s="1" t="n"/>
    </row>
    <row r="210" ht="14.25" customHeight="1" s="62">
      <c r="A210" s="1" t="n"/>
    </row>
    <row r="211" ht="14.25" customHeight="1" s="62">
      <c r="A211" s="1" t="n"/>
    </row>
    <row r="212" ht="14.25" customHeight="1" s="62">
      <c r="A212" s="1" t="n"/>
    </row>
    <row r="213" ht="14.25" customHeight="1" s="62">
      <c r="A213" s="1" t="n"/>
    </row>
    <row r="214" ht="14.25" customHeight="1" s="62">
      <c r="A214" s="1" t="n"/>
    </row>
    <row r="215" ht="14.25" customHeight="1" s="62">
      <c r="A215" s="1" t="n"/>
    </row>
    <row r="216" ht="14.25" customHeight="1" s="62">
      <c r="A216" s="1" t="n"/>
    </row>
    <row r="217" ht="14.25" customHeight="1" s="62">
      <c r="A217" s="1" t="n"/>
    </row>
    <row r="218" ht="14.25" customHeight="1" s="62">
      <c r="A218" s="1" t="n"/>
    </row>
    <row r="219" ht="14.25" customHeight="1" s="62">
      <c r="A219" s="1" t="n"/>
    </row>
    <row r="220" ht="14.25" customHeight="1" s="62">
      <c r="A220" s="1" t="n"/>
    </row>
    <row r="221" ht="14.25" customHeight="1" s="62">
      <c r="A221" s="1" t="n"/>
    </row>
    <row r="222" ht="14.25" customHeight="1" s="62">
      <c r="A222" s="1" t="n"/>
    </row>
    <row r="223" ht="14.25" customHeight="1" s="62">
      <c r="A223" s="1" t="n"/>
    </row>
    <row r="224" ht="14.25" customHeight="1" s="62">
      <c r="A224" s="1" t="n"/>
    </row>
    <row r="225" ht="14.25" customHeight="1" s="62">
      <c r="A225" s="1" t="n"/>
    </row>
    <row r="226" ht="14.25" customHeight="1" s="62">
      <c r="A226" s="1" t="n"/>
    </row>
    <row r="227" ht="14.25" customHeight="1" s="62">
      <c r="A227" s="1" t="n"/>
    </row>
    <row r="228" ht="14.25" customHeight="1" s="62">
      <c r="A228" s="1" t="n"/>
    </row>
    <row r="229" ht="14.25" customHeight="1" s="62">
      <c r="A229" s="1" t="n"/>
    </row>
    <row r="230" ht="14.25" customHeight="1" s="62">
      <c r="A230" s="1" t="n"/>
    </row>
    <row r="231" ht="14.25" customHeight="1" s="62">
      <c r="A231" s="1" t="n"/>
    </row>
    <row r="232" ht="14.25" customHeight="1" s="62">
      <c r="A232" s="1" t="n"/>
    </row>
    <row r="233" ht="14.25" customHeight="1" s="62">
      <c r="A233" s="1" t="n"/>
    </row>
    <row r="234" ht="14.25" customHeight="1" s="62">
      <c r="A234" s="1" t="n"/>
    </row>
    <row r="235" ht="14.25" customHeight="1" s="62">
      <c r="A235" s="1" t="n"/>
    </row>
    <row r="236" ht="14.25" customHeight="1" s="62">
      <c r="A236" s="1" t="n"/>
    </row>
    <row r="237" ht="14.25" customHeight="1" s="62">
      <c r="A237" s="1" t="n"/>
    </row>
    <row r="238" ht="14.25" customHeight="1" s="62">
      <c r="A238" s="1" t="n"/>
    </row>
    <row r="239" ht="14.25" customHeight="1" s="62">
      <c r="A239" s="1" t="n"/>
    </row>
    <row r="240" ht="14.25" customHeight="1" s="62">
      <c r="A240" s="1" t="n"/>
    </row>
    <row r="241" ht="14.25" customHeight="1" s="62">
      <c r="A241" s="1" t="n"/>
    </row>
    <row r="242" ht="14.25" customHeight="1" s="62">
      <c r="A242" s="1" t="n"/>
    </row>
    <row r="243" ht="14.25" customHeight="1" s="62">
      <c r="A243" s="1" t="n"/>
    </row>
    <row r="244" ht="14.25" customHeight="1" s="62">
      <c r="A244" s="1" t="n"/>
    </row>
    <row r="245" ht="14.25" customHeight="1" s="62">
      <c r="A245" s="1" t="n"/>
    </row>
    <row r="246" ht="14.25" customHeight="1" s="62">
      <c r="A246" s="1" t="n"/>
    </row>
    <row r="247" ht="14.25" customHeight="1" s="62">
      <c r="A247" s="1" t="n"/>
    </row>
    <row r="248" ht="14.25" customHeight="1" s="62">
      <c r="A248" s="1" t="n"/>
    </row>
    <row r="249" ht="14.25" customHeight="1" s="62">
      <c r="A249" s="1" t="n"/>
    </row>
    <row r="250" ht="14.25" customHeight="1" s="62">
      <c r="A250" s="1" t="n"/>
    </row>
    <row r="251" ht="14.25" customHeight="1" s="62">
      <c r="A251" s="1" t="n"/>
    </row>
    <row r="252" ht="14.25" customHeight="1" s="62">
      <c r="A252" s="1" t="n"/>
    </row>
    <row r="253" ht="14.25" customHeight="1" s="62">
      <c r="A253" s="1" t="n"/>
    </row>
    <row r="254" ht="14.25" customHeight="1" s="62">
      <c r="A254" s="1" t="n"/>
    </row>
    <row r="255" ht="14.25" customHeight="1" s="62">
      <c r="A255" s="1" t="n"/>
    </row>
    <row r="256" ht="14.25" customHeight="1" s="62">
      <c r="A256" s="1" t="n"/>
    </row>
    <row r="257" ht="14.25" customHeight="1" s="62">
      <c r="A257" s="1" t="n"/>
    </row>
    <row r="258" ht="14.25" customHeight="1" s="62">
      <c r="A258" s="1" t="n"/>
    </row>
    <row r="259" ht="14.25" customHeight="1" s="62">
      <c r="A259" s="1" t="n"/>
    </row>
    <row r="260" ht="14.25" customHeight="1" s="62">
      <c r="A260" s="1" t="n"/>
    </row>
    <row r="261" ht="14.25" customHeight="1" s="62">
      <c r="A261" s="1" t="n"/>
    </row>
    <row r="262" ht="14.25" customHeight="1" s="62">
      <c r="A262" s="1" t="n"/>
    </row>
    <row r="263" ht="14.25" customHeight="1" s="62">
      <c r="A263" s="1" t="n"/>
    </row>
    <row r="264" ht="14.25" customHeight="1" s="62">
      <c r="A264" s="1" t="n"/>
    </row>
    <row r="265" ht="14.25" customHeight="1" s="62">
      <c r="A265" s="1" t="n"/>
    </row>
    <row r="266" ht="14.25" customHeight="1" s="62">
      <c r="A266" s="1" t="n"/>
    </row>
    <row r="267" ht="14.25" customHeight="1" s="62">
      <c r="A267" s="1" t="n"/>
    </row>
    <row r="268" ht="14.25" customHeight="1" s="62">
      <c r="A268" s="1" t="n"/>
    </row>
    <row r="269" ht="14.25" customHeight="1" s="62">
      <c r="A269" s="1" t="n"/>
    </row>
    <row r="270" ht="14.25" customHeight="1" s="62">
      <c r="A270" s="1" t="n"/>
    </row>
    <row r="271" ht="14.25" customHeight="1" s="62">
      <c r="A271" s="1" t="n"/>
    </row>
    <row r="272" ht="14.25" customHeight="1" s="62">
      <c r="A272" s="1" t="n"/>
    </row>
    <row r="273" ht="14.25" customHeight="1" s="62">
      <c r="A273" s="1" t="n"/>
    </row>
    <row r="274" ht="14.25" customHeight="1" s="62">
      <c r="A274" s="1" t="n"/>
    </row>
    <row r="275" ht="14.25" customHeight="1" s="62">
      <c r="A275" s="1" t="n"/>
    </row>
    <row r="276" ht="14.25" customHeight="1" s="62">
      <c r="A276" s="1" t="n"/>
    </row>
    <row r="277" ht="14.25" customHeight="1" s="62">
      <c r="A277" s="1" t="n"/>
    </row>
    <row r="278" ht="14.25" customHeight="1" s="62">
      <c r="A278" s="1" t="n"/>
    </row>
    <row r="279" ht="14.25" customHeight="1" s="62">
      <c r="A279" s="1" t="n"/>
    </row>
    <row r="280" ht="14.25" customHeight="1" s="62">
      <c r="A280" s="1" t="n"/>
    </row>
    <row r="281" ht="14.25" customHeight="1" s="62">
      <c r="A281" s="1" t="n"/>
    </row>
    <row r="282" ht="14.25" customHeight="1" s="62">
      <c r="A282" s="1" t="n"/>
    </row>
    <row r="283" ht="14.25" customHeight="1" s="62">
      <c r="A283" s="1" t="n"/>
    </row>
    <row r="284" ht="14.25" customHeight="1" s="62">
      <c r="A284" s="1" t="n"/>
    </row>
    <row r="285" ht="14.25" customHeight="1" s="62">
      <c r="A285" s="1" t="n"/>
    </row>
    <row r="286" ht="14.25" customHeight="1" s="62">
      <c r="A286" s="1" t="n"/>
    </row>
    <row r="287" ht="14.25" customHeight="1" s="62">
      <c r="A287" s="1" t="n"/>
    </row>
    <row r="288" ht="14.25" customHeight="1" s="62">
      <c r="A288" s="1" t="n"/>
    </row>
    <row r="289" ht="14.25" customHeight="1" s="62">
      <c r="A289" s="1" t="n"/>
    </row>
    <row r="290" ht="14.25" customHeight="1" s="62">
      <c r="A290" s="1" t="n"/>
    </row>
    <row r="291" ht="14.25" customHeight="1" s="62">
      <c r="A291" s="1" t="n"/>
    </row>
    <row r="292" ht="14.25" customHeight="1" s="62">
      <c r="A292" s="1" t="n"/>
    </row>
    <row r="293" ht="14.25" customHeight="1" s="62">
      <c r="A293" s="1" t="n"/>
    </row>
    <row r="294" ht="14.25" customHeight="1" s="62">
      <c r="A294" s="1" t="n"/>
    </row>
    <row r="295" ht="14.25" customHeight="1" s="62">
      <c r="A295" s="1" t="n"/>
    </row>
    <row r="296" ht="14.25" customHeight="1" s="62">
      <c r="A296" s="1" t="n"/>
    </row>
    <row r="297" ht="14.25" customHeight="1" s="62">
      <c r="A297" s="1" t="n"/>
    </row>
    <row r="298" ht="14.25" customHeight="1" s="62">
      <c r="A298" s="1" t="n"/>
    </row>
    <row r="299" ht="14.25" customHeight="1" s="62">
      <c r="A299" s="1" t="n"/>
    </row>
    <row r="300" ht="14.25" customHeight="1" s="62">
      <c r="A300" s="1" t="n"/>
    </row>
    <row r="301" ht="14.25" customHeight="1" s="62">
      <c r="A301" s="1" t="n"/>
    </row>
    <row r="302" ht="14.25" customHeight="1" s="62">
      <c r="A302" s="1" t="n"/>
    </row>
    <row r="303" ht="14.25" customHeight="1" s="62">
      <c r="A303" s="1" t="n"/>
    </row>
    <row r="304" ht="14.25" customHeight="1" s="62">
      <c r="A304" s="1" t="n"/>
    </row>
    <row r="305" ht="14.25" customHeight="1" s="62">
      <c r="A305" s="1" t="n"/>
    </row>
    <row r="306" ht="14.25" customHeight="1" s="62">
      <c r="A306" s="1" t="n"/>
    </row>
    <row r="307" ht="14.25" customHeight="1" s="62">
      <c r="A307" s="1" t="n"/>
    </row>
    <row r="308" ht="14.25" customHeight="1" s="62">
      <c r="A308" s="1" t="n"/>
    </row>
    <row r="309" ht="14.25" customHeight="1" s="62">
      <c r="A309" s="1" t="n"/>
    </row>
    <row r="310" ht="14.25" customHeight="1" s="62">
      <c r="A310" s="1" t="n"/>
    </row>
    <row r="311" ht="14.25" customHeight="1" s="62">
      <c r="A311" s="1" t="n"/>
    </row>
    <row r="312" ht="14.25" customHeight="1" s="62">
      <c r="A312" s="1" t="n"/>
    </row>
    <row r="313" ht="14.25" customHeight="1" s="62">
      <c r="A313" s="1" t="n"/>
    </row>
    <row r="314" ht="14.25" customHeight="1" s="62">
      <c r="A314" s="1" t="n"/>
    </row>
    <row r="315" ht="14.25" customHeight="1" s="62">
      <c r="A315" s="1" t="n"/>
    </row>
    <row r="316" ht="14.25" customHeight="1" s="62">
      <c r="A316" s="1" t="n"/>
    </row>
    <row r="317" ht="14.25" customHeight="1" s="62">
      <c r="A317" s="1" t="n"/>
    </row>
    <row r="318" ht="14.25" customHeight="1" s="62">
      <c r="A318" s="1" t="n"/>
    </row>
    <row r="319" ht="14.25" customHeight="1" s="62">
      <c r="A319" s="1" t="n"/>
    </row>
    <row r="320" ht="14.25" customHeight="1" s="62">
      <c r="A320" s="1" t="n"/>
    </row>
    <row r="321" ht="14.25" customHeight="1" s="62">
      <c r="A321" s="1" t="n"/>
    </row>
    <row r="322" ht="14.25" customHeight="1" s="62">
      <c r="A322" s="1" t="n"/>
    </row>
    <row r="323" ht="14.25" customHeight="1" s="62">
      <c r="A323" s="1" t="n"/>
    </row>
    <row r="324" ht="14.25" customHeight="1" s="62">
      <c r="A324" s="1" t="n"/>
    </row>
    <row r="325" ht="14.25" customHeight="1" s="62">
      <c r="A325" s="1" t="n"/>
    </row>
    <row r="326" ht="14.25" customHeight="1" s="62">
      <c r="A326" s="1" t="n"/>
    </row>
    <row r="327" ht="14.25" customHeight="1" s="62">
      <c r="A327" s="1" t="n"/>
    </row>
    <row r="328" ht="14.25" customHeight="1" s="62">
      <c r="A328" s="1" t="n"/>
    </row>
    <row r="329" ht="14.25" customHeight="1" s="62">
      <c r="A329" s="1" t="n"/>
    </row>
    <row r="330" ht="14.25" customHeight="1" s="62">
      <c r="A330" s="1" t="n"/>
    </row>
    <row r="331" ht="14.25" customHeight="1" s="62">
      <c r="A331" s="1" t="n"/>
    </row>
    <row r="332" ht="14.25" customHeight="1" s="62">
      <c r="A332" s="1" t="n"/>
    </row>
    <row r="333" ht="14.25" customHeight="1" s="62">
      <c r="A333" s="1" t="n"/>
    </row>
    <row r="334" ht="14.25" customHeight="1" s="62">
      <c r="A334" s="1" t="n"/>
    </row>
    <row r="335" ht="14.25" customHeight="1" s="62">
      <c r="A335" s="1" t="n"/>
    </row>
    <row r="336" ht="14.25" customHeight="1" s="62">
      <c r="A336" s="1" t="n"/>
    </row>
    <row r="337" ht="14.25" customHeight="1" s="62">
      <c r="A337" s="1" t="n"/>
    </row>
    <row r="338" ht="14.25" customHeight="1" s="62">
      <c r="A338" s="1" t="n"/>
    </row>
    <row r="339" ht="14.25" customHeight="1" s="62">
      <c r="A339" s="1" t="n"/>
    </row>
    <row r="340" ht="14.25" customHeight="1" s="62">
      <c r="A340" s="1" t="n"/>
    </row>
    <row r="341" ht="14.25" customHeight="1" s="62">
      <c r="A341" s="1" t="n"/>
    </row>
    <row r="342" ht="14.25" customHeight="1" s="62">
      <c r="A342" s="1" t="n"/>
    </row>
    <row r="343" ht="14.25" customHeight="1" s="62">
      <c r="A343" s="1" t="n"/>
    </row>
    <row r="344" ht="14.25" customHeight="1" s="62">
      <c r="A344" s="1" t="n"/>
    </row>
    <row r="345" ht="14.25" customHeight="1" s="62">
      <c r="A345" s="1" t="n"/>
    </row>
    <row r="346" ht="14.25" customHeight="1" s="62">
      <c r="A346" s="1" t="n"/>
    </row>
    <row r="347" ht="14.25" customHeight="1" s="62">
      <c r="A347" s="1" t="n"/>
    </row>
    <row r="348" ht="14.25" customHeight="1" s="62">
      <c r="A348" s="1" t="n"/>
    </row>
    <row r="349" ht="14.25" customHeight="1" s="62">
      <c r="A349" s="1" t="n"/>
    </row>
    <row r="350" ht="14.25" customHeight="1" s="62">
      <c r="A350" s="1" t="n"/>
    </row>
    <row r="351" ht="14.25" customHeight="1" s="62">
      <c r="A351" s="1" t="n"/>
    </row>
    <row r="352" ht="14.25" customHeight="1" s="62">
      <c r="A352" s="1" t="n"/>
    </row>
    <row r="353" ht="14.25" customHeight="1" s="62">
      <c r="A353" s="1" t="n"/>
    </row>
    <row r="354" ht="14.25" customHeight="1" s="62">
      <c r="A354" s="1" t="n"/>
    </row>
    <row r="355" ht="14.25" customHeight="1" s="62">
      <c r="A355" s="1" t="n"/>
    </row>
    <row r="356" ht="14.25" customHeight="1" s="62">
      <c r="A356" s="1" t="n"/>
    </row>
    <row r="357" ht="14.25" customHeight="1" s="62">
      <c r="A357" s="1" t="n"/>
    </row>
    <row r="358" ht="14.25" customHeight="1" s="62">
      <c r="A358" s="1" t="n"/>
    </row>
    <row r="359" ht="14.25" customHeight="1" s="62">
      <c r="A359" s="1" t="n"/>
    </row>
    <row r="360" ht="14.25" customHeight="1" s="62">
      <c r="A360" s="1" t="n"/>
    </row>
    <row r="361" ht="14.25" customHeight="1" s="62">
      <c r="A361" s="1" t="n"/>
    </row>
    <row r="362" ht="14.25" customHeight="1" s="62">
      <c r="A362" s="1" t="n"/>
    </row>
    <row r="363" ht="14.25" customHeight="1" s="62">
      <c r="A363" s="1" t="n"/>
    </row>
    <row r="364" ht="14.25" customHeight="1" s="62">
      <c r="A364" s="1" t="n"/>
    </row>
    <row r="365" ht="14.25" customHeight="1" s="62">
      <c r="A365" s="1" t="n"/>
    </row>
    <row r="366" ht="14.25" customHeight="1" s="62">
      <c r="A366" s="1" t="n"/>
    </row>
    <row r="367" ht="14.25" customHeight="1" s="62">
      <c r="A367" s="1" t="n"/>
    </row>
    <row r="368" ht="14.25" customHeight="1" s="62">
      <c r="A368" s="1" t="n"/>
    </row>
    <row r="369" ht="14.25" customHeight="1" s="62">
      <c r="A369" s="1" t="n"/>
    </row>
    <row r="370" ht="14.25" customHeight="1" s="62">
      <c r="A370" s="1" t="n"/>
    </row>
    <row r="371" ht="14.25" customHeight="1" s="62">
      <c r="A371" s="1" t="n"/>
    </row>
    <row r="372" ht="14.25" customHeight="1" s="62">
      <c r="A372" s="1" t="n"/>
    </row>
    <row r="373" ht="14.25" customHeight="1" s="62">
      <c r="A373" s="1" t="n"/>
    </row>
    <row r="374" ht="14.25" customHeight="1" s="62">
      <c r="A374" s="1" t="n"/>
    </row>
    <row r="375" ht="14.25" customHeight="1" s="62">
      <c r="A375" s="1" t="n"/>
    </row>
    <row r="376" ht="14.25" customHeight="1" s="62">
      <c r="A376" s="1" t="n"/>
    </row>
    <row r="377" ht="14.25" customHeight="1" s="62">
      <c r="A377" s="1" t="n"/>
    </row>
    <row r="378" ht="14.25" customHeight="1" s="62">
      <c r="A378" s="1" t="n"/>
    </row>
    <row r="379" ht="14.25" customHeight="1" s="62">
      <c r="A379" s="1" t="n"/>
    </row>
    <row r="380" ht="14.25" customHeight="1" s="62">
      <c r="A380" s="1" t="n"/>
    </row>
    <row r="381" ht="14.25" customHeight="1" s="62">
      <c r="A381" s="1" t="n"/>
    </row>
    <row r="382" ht="14.25" customHeight="1" s="62">
      <c r="A382" s="1" t="n"/>
    </row>
    <row r="383" ht="14.25" customHeight="1" s="62">
      <c r="A383" s="1" t="n"/>
    </row>
    <row r="384" ht="14.25" customHeight="1" s="62">
      <c r="A384" s="1" t="n"/>
    </row>
    <row r="385" ht="14.25" customHeight="1" s="62">
      <c r="A385" s="1" t="n"/>
    </row>
    <row r="386" ht="14.25" customHeight="1" s="62">
      <c r="A386" s="1" t="n"/>
    </row>
    <row r="387" ht="14.25" customHeight="1" s="62">
      <c r="A387" s="1" t="n"/>
    </row>
    <row r="388" ht="14.25" customHeight="1" s="62">
      <c r="A388" s="1" t="n"/>
    </row>
    <row r="389" ht="14.25" customHeight="1" s="62">
      <c r="A389" s="1" t="n"/>
    </row>
    <row r="390" ht="14.25" customHeight="1" s="62">
      <c r="A390" s="1" t="n"/>
    </row>
    <row r="391" ht="14.25" customHeight="1" s="62">
      <c r="A391" s="1" t="n"/>
    </row>
    <row r="392" ht="14.25" customHeight="1" s="62">
      <c r="A392" s="1" t="n"/>
    </row>
    <row r="393" ht="14.25" customHeight="1" s="62">
      <c r="A393" s="1" t="n"/>
    </row>
    <row r="394" ht="14.25" customHeight="1" s="62">
      <c r="A394" s="1" t="n"/>
    </row>
    <row r="395" ht="14.25" customHeight="1" s="62">
      <c r="A395" s="1" t="n"/>
    </row>
    <row r="396" ht="14.25" customHeight="1" s="62">
      <c r="A396" s="1" t="n"/>
    </row>
    <row r="397" ht="14.25" customHeight="1" s="62">
      <c r="A397" s="1" t="n"/>
    </row>
    <row r="398" ht="14.25" customHeight="1" s="62">
      <c r="A398" s="1" t="n"/>
    </row>
    <row r="399" ht="14.25" customHeight="1" s="62">
      <c r="A399" s="1" t="n"/>
    </row>
    <row r="400" ht="14.25" customHeight="1" s="62">
      <c r="A400" s="1" t="n"/>
    </row>
    <row r="401" ht="14.25" customHeight="1" s="62">
      <c r="A401" s="1" t="n"/>
    </row>
    <row r="402" ht="14.25" customHeight="1" s="62">
      <c r="A402" s="1" t="n"/>
    </row>
    <row r="403" ht="14.25" customHeight="1" s="62">
      <c r="A403" s="1" t="n"/>
    </row>
    <row r="404" ht="14.25" customHeight="1" s="62">
      <c r="A404" s="1" t="n"/>
    </row>
    <row r="405" ht="14.25" customHeight="1" s="62">
      <c r="A405" s="1" t="n"/>
    </row>
    <row r="406" ht="14.25" customHeight="1" s="62">
      <c r="A406" s="1" t="n"/>
    </row>
    <row r="407" ht="14.25" customHeight="1" s="62">
      <c r="A407" s="1" t="n"/>
    </row>
    <row r="408" ht="14.25" customHeight="1" s="62">
      <c r="A408" s="1" t="n"/>
    </row>
    <row r="409" ht="14.25" customHeight="1" s="62">
      <c r="A409" s="1" t="n"/>
    </row>
    <row r="410" ht="14.25" customHeight="1" s="62">
      <c r="A410" s="1" t="n"/>
    </row>
    <row r="411" ht="14.25" customHeight="1" s="62">
      <c r="A411" s="1" t="n"/>
    </row>
    <row r="412" ht="14.25" customHeight="1" s="62">
      <c r="A412" s="1" t="n"/>
    </row>
    <row r="413" ht="14.25" customHeight="1" s="62">
      <c r="A413" s="1" t="n"/>
    </row>
    <row r="414" ht="14.25" customHeight="1" s="62">
      <c r="A414" s="1" t="n"/>
    </row>
    <row r="415" ht="14.25" customHeight="1" s="62">
      <c r="A415" s="1" t="n"/>
    </row>
    <row r="416" ht="14.25" customHeight="1" s="62">
      <c r="A416" s="1" t="n"/>
    </row>
    <row r="417" ht="14.25" customHeight="1" s="62">
      <c r="A417" s="1" t="n"/>
    </row>
    <row r="418" ht="14.25" customHeight="1" s="62">
      <c r="A418" s="1" t="n"/>
    </row>
    <row r="419" ht="14.25" customHeight="1" s="62">
      <c r="A419" s="1" t="n"/>
    </row>
    <row r="420" ht="14.25" customHeight="1" s="62">
      <c r="A420" s="1" t="n"/>
    </row>
    <row r="421" ht="14.25" customHeight="1" s="62">
      <c r="A421" s="1" t="n"/>
    </row>
    <row r="422" ht="14.25" customHeight="1" s="62">
      <c r="A422" s="1" t="n"/>
    </row>
    <row r="423" ht="14.25" customHeight="1" s="62">
      <c r="A423" s="1" t="n"/>
    </row>
    <row r="424" ht="14.25" customHeight="1" s="62">
      <c r="A424" s="1" t="n"/>
    </row>
    <row r="425" ht="14.25" customHeight="1" s="62">
      <c r="A425" s="1" t="n"/>
    </row>
    <row r="426" ht="14.25" customHeight="1" s="62">
      <c r="A426" s="1" t="n"/>
    </row>
    <row r="427" ht="14.25" customHeight="1" s="62">
      <c r="A427" s="1" t="n"/>
    </row>
    <row r="428" ht="14.25" customHeight="1" s="62">
      <c r="A428" s="1" t="n"/>
    </row>
    <row r="429" ht="14.25" customHeight="1" s="62">
      <c r="A429" s="1" t="n"/>
    </row>
    <row r="430" ht="14.25" customHeight="1" s="62">
      <c r="A430" s="1" t="n"/>
    </row>
    <row r="431" ht="14.25" customHeight="1" s="62">
      <c r="A431" s="1" t="n"/>
    </row>
    <row r="432" ht="14.25" customHeight="1" s="62">
      <c r="A432" s="1" t="n"/>
    </row>
    <row r="433" ht="14.25" customHeight="1" s="62">
      <c r="A433" s="1" t="n"/>
    </row>
    <row r="434" ht="14.25" customHeight="1" s="62">
      <c r="A434" s="1" t="n"/>
    </row>
    <row r="435" ht="14.25" customHeight="1" s="62">
      <c r="A435" s="1" t="n"/>
    </row>
    <row r="436" ht="14.25" customHeight="1" s="62">
      <c r="A436" s="1" t="n"/>
    </row>
    <row r="437" ht="14.25" customHeight="1" s="62">
      <c r="A437" s="1" t="n"/>
    </row>
    <row r="438" ht="14.25" customHeight="1" s="62">
      <c r="A438" s="1" t="n"/>
    </row>
    <row r="439" ht="14.25" customHeight="1" s="62">
      <c r="A439" s="1" t="n"/>
    </row>
    <row r="440" ht="14.25" customHeight="1" s="62">
      <c r="A440" s="1" t="n"/>
    </row>
    <row r="441" ht="14.25" customHeight="1" s="62">
      <c r="A441" s="1" t="n"/>
    </row>
    <row r="442" ht="14.25" customHeight="1" s="62">
      <c r="A442" s="1" t="n"/>
    </row>
    <row r="443" ht="14.25" customHeight="1" s="62">
      <c r="A443" s="1" t="n"/>
    </row>
    <row r="444" ht="14.25" customHeight="1" s="62">
      <c r="A444" s="1" t="n"/>
    </row>
    <row r="445" ht="14.25" customHeight="1" s="62">
      <c r="A445" s="1" t="n"/>
    </row>
    <row r="446" ht="14.25" customHeight="1" s="62">
      <c r="A446" s="1" t="n"/>
    </row>
    <row r="447" ht="14.25" customHeight="1" s="62">
      <c r="A447" s="1" t="n"/>
    </row>
    <row r="448" ht="14.25" customHeight="1" s="62">
      <c r="A448" s="1" t="n"/>
    </row>
    <row r="449" ht="14.25" customHeight="1" s="62">
      <c r="A449" s="1" t="n"/>
    </row>
    <row r="450" ht="14.25" customHeight="1" s="62">
      <c r="A450" s="1" t="n"/>
    </row>
    <row r="451" ht="14.25" customHeight="1" s="62">
      <c r="A451" s="1" t="n"/>
    </row>
    <row r="452" ht="14.25" customHeight="1" s="62">
      <c r="A452" s="1" t="n"/>
    </row>
    <row r="453" ht="14.25" customHeight="1" s="62">
      <c r="A453" s="1" t="n"/>
    </row>
    <row r="454" ht="14.25" customHeight="1" s="62">
      <c r="A454" s="1" t="n"/>
    </row>
    <row r="455" ht="14.25" customHeight="1" s="62">
      <c r="A455" s="1" t="n"/>
    </row>
    <row r="456" ht="14.25" customHeight="1" s="62">
      <c r="A456" s="1" t="n"/>
    </row>
    <row r="457" ht="14.25" customHeight="1" s="62">
      <c r="A457" s="1" t="n"/>
    </row>
    <row r="458" ht="14.25" customHeight="1" s="62">
      <c r="A458" s="1" t="n"/>
    </row>
    <row r="459" ht="14.25" customHeight="1" s="62">
      <c r="A459" s="1" t="n"/>
    </row>
    <row r="460" ht="14.25" customHeight="1" s="62">
      <c r="A460" s="1" t="n"/>
    </row>
    <row r="461" ht="14.25" customHeight="1" s="62">
      <c r="A461" s="1" t="n"/>
    </row>
    <row r="462" ht="14.25" customHeight="1" s="62">
      <c r="A462" s="1" t="n"/>
    </row>
    <row r="463" ht="14.25" customHeight="1" s="62">
      <c r="A463" s="1" t="n"/>
    </row>
    <row r="464" ht="14.25" customHeight="1" s="62">
      <c r="A464" s="1" t="n"/>
    </row>
    <row r="465" ht="14.25" customHeight="1" s="62">
      <c r="A465" s="1" t="n"/>
    </row>
    <row r="466" ht="14.25" customHeight="1" s="62">
      <c r="A466" s="1" t="n"/>
    </row>
    <row r="467" ht="14.25" customHeight="1" s="62">
      <c r="A467" s="1" t="n"/>
    </row>
    <row r="468" ht="14.25" customHeight="1" s="62">
      <c r="A468" s="1" t="n"/>
    </row>
    <row r="469" ht="14.25" customHeight="1" s="62">
      <c r="A469" s="1" t="n"/>
    </row>
    <row r="470" ht="14.25" customHeight="1" s="62">
      <c r="A470" s="1" t="n"/>
    </row>
    <row r="471" ht="14.25" customHeight="1" s="62">
      <c r="A471" s="1" t="n"/>
    </row>
    <row r="472" ht="14.25" customHeight="1" s="62">
      <c r="A472" s="1" t="n"/>
    </row>
    <row r="473" ht="14.25" customHeight="1" s="62">
      <c r="A473" s="1" t="n"/>
    </row>
    <row r="474" ht="14.25" customHeight="1" s="62">
      <c r="A474" s="1" t="n"/>
    </row>
    <row r="475" ht="14.25" customHeight="1" s="62">
      <c r="A475" s="1" t="n"/>
    </row>
    <row r="476" ht="14.25" customHeight="1" s="62">
      <c r="A476" s="1" t="n"/>
    </row>
    <row r="477" ht="14.25" customHeight="1" s="62">
      <c r="A477" s="1" t="n"/>
    </row>
    <row r="478" ht="14.25" customHeight="1" s="62">
      <c r="A478" s="1" t="n"/>
    </row>
    <row r="479" ht="14.25" customHeight="1" s="62">
      <c r="A479" s="1" t="n"/>
    </row>
    <row r="480" ht="14.25" customHeight="1" s="62">
      <c r="A480" s="1" t="n"/>
    </row>
    <row r="481" ht="14.25" customHeight="1" s="62">
      <c r="A481" s="1" t="n"/>
    </row>
    <row r="482" ht="14.25" customHeight="1" s="62">
      <c r="A482" s="1" t="n"/>
    </row>
    <row r="483" ht="14.25" customHeight="1" s="62">
      <c r="A483" s="1" t="n"/>
    </row>
    <row r="484" ht="14.25" customHeight="1" s="62">
      <c r="A484" s="1" t="n"/>
    </row>
    <row r="485" ht="14.25" customHeight="1" s="62">
      <c r="A485" s="1" t="n"/>
    </row>
    <row r="486" ht="14.25" customHeight="1" s="62">
      <c r="A486" s="1" t="n"/>
    </row>
    <row r="487" ht="14.25" customHeight="1" s="62">
      <c r="A487" s="1" t="n"/>
    </row>
    <row r="488" ht="14.25" customHeight="1" s="62">
      <c r="A488" s="1" t="n"/>
    </row>
    <row r="489" ht="14.25" customHeight="1" s="62">
      <c r="A489" s="1" t="n"/>
    </row>
    <row r="490" ht="14.25" customHeight="1" s="62">
      <c r="A490" s="1" t="n"/>
    </row>
    <row r="491" ht="14.25" customHeight="1" s="62">
      <c r="A491" s="1" t="n"/>
    </row>
    <row r="492" ht="14.25" customHeight="1" s="62">
      <c r="A492" s="1" t="n"/>
    </row>
    <row r="493" ht="14.25" customHeight="1" s="62">
      <c r="A493" s="1" t="n"/>
    </row>
    <row r="494" ht="14.25" customHeight="1" s="62">
      <c r="A494" s="1" t="n"/>
    </row>
    <row r="495" ht="14.25" customHeight="1" s="62">
      <c r="A495" s="1" t="n"/>
    </row>
    <row r="496" ht="14.25" customHeight="1" s="62">
      <c r="A496" s="1" t="n"/>
    </row>
    <row r="497" ht="14.25" customHeight="1" s="62">
      <c r="A497" s="1" t="n"/>
    </row>
    <row r="498" ht="14.25" customHeight="1" s="62">
      <c r="A498" s="1" t="n"/>
    </row>
    <row r="499" ht="14.25" customHeight="1" s="62">
      <c r="A499" s="1" t="n"/>
    </row>
    <row r="500" ht="14.25" customHeight="1" s="62">
      <c r="A500" s="1" t="n"/>
    </row>
    <row r="501" ht="14.25" customHeight="1" s="62">
      <c r="A501" s="1" t="n"/>
    </row>
    <row r="502" ht="14.25" customHeight="1" s="62">
      <c r="A502" s="1" t="n"/>
    </row>
    <row r="503" ht="14.25" customHeight="1" s="62">
      <c r="A503" s="1" t="n"/>
    </row>
    <row r="504" ht="14.25" customHeight="1" s="62">
      <c r="A504" s="1" t="n"/>
    </row>
    <row r="505" ht="14.25" customHeight="1" s="62">
      <c r="A505" s="1" t="n"/>
    </row>
    <row r="506" ht="14.25" customHeight="1" s="62">
      <c r="A506" s="1" t="n"/>
    </row>
    <row r="507" ht="14.25" customHeight="1" s="62">
      <c r="A507" s="1" t="n"/>
    </row>
    <row r="508" ht="14.25" customHeight="1" s="62">
      <c r="A508" s="1" t="n"/>
    </row>
    <row r="509" ht="14.25" customHeight="1" s="62">
      <c r="A509" s="1" t="n"/>
    </row>
    <row r="510" ht="14.25" customHeight="1" s="62">
      <c r="A510" s="1" t="n"/>
    </row>
    <row r="511" ht="14.25" customHeight="1" s="62">
      <c r="A511" s="1" t="n"/>
    </row>
    <row r="512" ht="14.25" customHeight="1" s="62">
      <c r="A512" s="1" t="n"/>
    </row>
    <row r="513" ht="14.25" customHeight="1" s="62">
      <c r="A513" s="1" t="n"/>
    </row>
    <row r="514" ht="14.25" customHeight="1" s="62">
      <c r="A514" s="1" t="n"/>
    </row>
    <row r="515" ht="14.25" customHeight="1" s="62">
      <c r="A515" s="1" t="n"/>
    </row>
    <row r="516" ht="14.25" customHeight="1" s="62">
      <c r="A516" s="1" t="n"/>
    </row>
    <row r="517" ht="14.25" customHeight="1" s="62">
      <c r="A517" s="1" t="n"/>
    </row>
    <row r="518" ht="14.25" customHeight="1" s="62">
      <c r="A518" s="1" t="n"/>
    </row>
    <row r="519" ht="14.25" customHeight="1" s="62">
      <c r="A519" s="1" t="n"/>
    </row>
    <row r="520" ht="14.25" customHeight="1" s="62">
      <c r="A520" s="1" t="n"/>
    </row>
    <row r="521" ht="14.25" customHeight="1" s="62">
      <c r="A521" s="1" t="n"/>
    </row>
    <row r="522" ht="14.25" customHeight="1" s="62">
      <c r="A522" s="1" t="n"/>
    </row>
    <row r="523" ht="14.25" customHeight="1" s="62">
      <c r="A523" s="1" t="n"/>
    </row>
    <row r="524" ht="14.25" customHeight="1" s="62">
      <c r="A524" s="1" t="n"/>
    </row>
    <row r="525" ht="14.25" customHeight="1" s="62">
      <c r="A525" s="1" t="n"/>
    </row>
    <row r="526" ht="14.25" customHeight="1" s="62">
      <c r="A526" s="1" t="n"/>
    </row>
    <row r="527" ht="14.25" customHeight="1" s="62">
      <c r="A527" s="1" t="n"/>
    </row>
    <row r="528" ht="14.25" customHeight="1" s="62">
      <c r="A528" s="1" t="n"/>
    </row>
    <row r="529" ht="14.25" customHeight="1" s="62">
      <c r="A529" s="1" t="n"/>
    </row>
    <row r="530" ht="14.25" customHeight="1" s="62">
      <c r="A530" s="1" t="n"/>
    </row>
    <row r="531" ht="14.25" customHeight="1" s="62">
      <c r="A531" s="1" t="n"/>
    </row>
    <row r="532" ht="14.25" customHeight="1" s="62">
      <c r="A532" s="1" t="n"/>
    </row>
    <row r="533" ht="14.25" customHeight="1" s="62">
      <c r="A533" s="1" t="n"/>
    </row>
    <row r="534" ht="14.25" customHeight="1" s="62">
      <c r="A534" s="1" t="n"/>
    </row>
    <row r="535" ht="14.25" customHeight="1" s="62">
      <c r="A535" s="1" t="n"/>
    </row>
    <row r="536" ht="14.25" customHeight="1" s="62">
      <c r="A536" s="1" t="n"/>
    </row>
    <row r="537" ht="14.25" customHeight="1" s="62">
      <c r="A537" s="1" t="n"/>
    </row>
    <row r="538" ht="14.25" customHeight="1" s="62">
      <c r="A538" s="1" t="n"/>
    </row>
    <row r="539" ht="14.25" customHeight="1" s="62">
      <c r="A539" s="1" t="n"/>
    </row>
    <row r="540" ht="14.25" customHeight="1" s="62">
      <c r="A540" s="1" t="n"/>
    </row>
    <row r="541" ht="14.25" customHeight="1" s="62">
      <c r="A541" s="1" t="n"/>
    </row>
    <row r="542" ht="14.25" customHeight="1" s="62">
      <c r="A542" s="1" t="n"/>
    </row>
    <row r="543" ht="14.25" customHeight="1" s="62">
      <c r="A543" s="1" t="n"/>
    </row>
    <row r="544" ht="14.25" customHeight="1" s="62">
      <c r="A544" s="1" t="n"/>
    </row>
    <row r="545" ht="14.25" customHeight="1" s="62">
      <c r="A545" s="1" t="n"/>
    </row>
    <row r="546" ht="14.25" customHeight="1" s="62">
      <c r="A546" s="1" t="n"/>
    </row>
    <row r="547" ht="14.25" customHeight="1" s="62">
      <c r="A547" s="1" t="n"/>
    </row>
    <row r="548" ht="14.25" customHeight="1" s="62">
      <c r="A548" s="1" t="n"/>
    </row>
    <row r="549" ht="14.25" customHeight="1" s="62">
      <c r="A549" s="1" t="n"/>
    </row>
    <row r="550" ht="14.25" customHeight="1" s="62">
      <c r="A550" s="1" t="n"/>
    </row>
    <row r="551" ht="14.25" customHeight="1" s="62">
      <c r="A551" s="1" t="n"/>
    </row>
    <row r="552" ht="14.25" customHeight="1" s="62">
      <c r="A552" s="1" t="n"/>
    </row>
    <row r="553" ht="14.25" customHeight="1" s="62">
      <c r="A553" s="1" t="n"/>
    </row>
    <row r="554" ht="14.25" customHeight="1" s="62">
      <c r="A554" s="1" t="n"/>
    </row>
    <row r="555" ht="14.25" customHeight="1" s="62">
      <c r="A555" s="1" t="n"/>
    </row>
    <row r="556" ht="14.25" customHeight="1" s="62">
      <c r="A556" s="1" t="n"/>
    </row>
    <row r="557" ht="14.25" customHeight="1" s="62">
      <c r="A557" s="1" t="n"/>
    </row>
    <row r="558" ht="14.25" customHeight="1" s="62">
      <c r="A558" s="1" t="n"/>
    </row>
    <row r="559" ht="14.25" customHeight="1" s="62">
      <c r="A559" s="1" t="n"/>
    </row>
    <row r="560" ht="14.25" customHeight="1" s="62">
      <c r="A560" s="1" t="n"/>
    </row>
    <row r="561" ht="14.25" customHeight="1" s="62">
      <c r="A561" s="1" t="n"/>
    </row>
    <row r="562" ht="14.25" customHeight="1" s="62">
      <c r="A562" s="1" t="n"/>
    </row>
    <row r="563" ht="14.25" customHeight="1" s="62">
      <c r="A563" s="1" t="n"/>
    </row>
    <row r="564" ht="14.25" customHeight="1" s="62">
      <c r="A564" s="1" t="n"/>
    </row>
    <row r="565" ht="14.25" customHeight="1" s="62">
      <c r="A565" s="1" t="n"/>
    </row>
    <row r="566" ht="14.25" customHeight="1" s="62">
      <c r="A566" s="1" t="n"/>
    </row>
    <row r="567" ht="14.25" customHeight="1" s="62">
      <c r="A567" s="1" t="n"/>
    </row>
    <row r="568" ht="14.25" customHeight="1" s="62">
      <c r="A568" s="1" t="n"/>
    </row>
    <row r="569" ht="14.25" customHeight="1" s="62">
      <c r="A569" s="1" t="n"/>
    </row>
    <row r="570" ht="14.25" customHeight="1" s="62">
      <c r="A570" s="1" t="n"/>
    </row>
    <row r="571" ht="14.25" customHeight="1" s="62">
      <c r="A571" s="1" t="n"/>
    </row>
    <row r="572" ht="14.25" customHeight="1" s="62">
      <c r="A572" s="1" t="n"/>
    </row>
    <row r="573" ht="14.25" customHeight="1" s="62">
      <c r="A573" s="1" t="n"/>
    </row>
    <row r="574" ht="14.25" customHeight="1" s="62">
      <c r="A574" s="1" t="n"/>
    </row>
    <row r="575" ht="14.25" customHeight="1" s="62">
      <c r="A575" s="1" t="n"/>
    </row>
    <row r="576" ht="14.25" customHeight="1" s="62">
      <c r="A576" s="1" t="n"/>
    </row>
    <row r="577" ht="14.25" customHeight="1" s="62">
      <c r="A577" s="1" t="n"/>
    </row>
    <row r="578" ht="14.25" customHeight="1" s="62">
      <c r="A578" s="1" t="n"/>
    </row>
    <row r="579" ht="14.25" customHeight="1" s="62">
      <c r="A579" s="1" t="n"/>
    </row>
    <row r="580" ht="14.25" customHeight="1" s="62">
      <c r="A580" s="1" t="n"/>
    </row>
    <row r="581" ht="14.25" customHeight="1" s="62">
      <c r="A581" s="1" t="n"/>
    </row>
    <row r="582" ht="14.25" customHeight="1" s="62">
      <c r="A582" s="1" t="n"/>
    </row>
    <row r="583" ht="14.25" customHeight="1" s="62">
      <c r="A583" s="1" t="n"/>
    </row>
    <row r="584" ht="14.25" customHeight="1" s="62">
      <c r="A584" s="1" t="n"/>
    </row>
    <row r="585" ht="14.25" customHeight="1" s="62">
      <c r="A585" s="1" t="n"/>
    </row>
    <row r="586" ht="14.25" customHeight="1" s="62">
      <c r="A586" s="1" t="n"/>
    </row>
    <row r="587" ht="14.25" customHeight="1" s="62">
      <c r="A587" s="1" t="n"/>
    </row>
    <row r="588" ht="14.25" customHeight="1" s="62">
      <c r="A588" s="1" t="n"/>
    </row>
    <row r="589" ht="14.25" customHeight="1" s="62">
      <c r="A589" s="1" t="n"/>
    </row>
    <row r="590" ht="14.25" customHeight="1" s="62">
      <c r="A590" s="1" t="n"/>
    </row>
    <row r="591" ht="14.25" customHeight="1" s="62">
      <c r="A591" s="1" t="n"/>
    </row>
    <row r="592" ht="14.25" customHeight="1" s="62">
      <c r="A592" s="1" t="n"/>
    </row>
    <row r="593" ht="14.25" customHeight="1" s="62">
      <c r="A593" s="1" t="n"/>
    </row>
    <row r="594" ht="14.25" customHeight="1" s="62">
      <c r="A594" s="1" t="n"/>
    </row>
    <row r="595" ht="14.25" customHeight="1" s="62">
      <c r="A595" s="1" t="n"/>
    </row>
    <row r="596" ht="14.25" customHeight="1" s="62">
      <c r="A596" s="1" t="n"/>
    </row>
    <row r="597" ht="14.25" customHeight="1" s="62">
      <c r="A597" s="1" t="n"/>
    </row>
    <row r="598" ht="14.25" customHeight="1" s="62">
      <c r="A598" s="1" t="n"/>
    </row>
    <row r="599" ht="14.25" customHeight="1" s="62">
      <c r="A599" s="1" t="n"/>
    </row>
    <row r="600" ht="14.25" customHeight="1" s="62">
      <c r="A600" s="1" t="n"/>
    </row>
    <row r="601" ht="14.25" customHeight="1" s="62">
      <c r="A601" s="1" t="n"/>
    </row>
    <row r="602" ht="14.25" customHeight="1" s="62">
      <c r="A602" s="1" t="n"/>
    </row>
    <row r="603" ht="14.25" customHeight="1" s="62">
      <c r="A603" s="1" t="n"/>
    </row>
    <row r="604" ht="14.25" customHeight="1" s="62">
      <c r="A604" s="1" t="n"/>
    </row>
    <row r="605" ht="14.25" customHeight="1" s="62">
      <c r="A605" s="1" t="n"/>
    </row>
    <row r="606" ht="14.25" customHeight="1" s="62">
      <c r="A606" s="1" t="n"/>
    </row>
    <row r="607" ht="14.25" customHeight="1" s="62">
      <c r="A607" s="1" t="n"/>
    </row>
    <row r="608" ht="14.25" customHeight="1" s="62">
      <c r="A608" s="1" t="n"/>
    </row>
    <row r="609" ht="14.25" customHeight="1" s="62">
      <c r="A609" s="1" t="n"/>
    </row>
    <row r="610" ht="14.25" customHeight="1" s="62">
      <c r="A610" s="1" t="n"/>
    </row>
    <row r="611" ht="14.25" customHeight="1" s="62">
      <c r="A611" s="1" t="n"/>
    </row>
    <row r="612" ht="14.25" customHeight="1" s="62">
      <c r="A612" s="1" t="n"/>
    </row>
    <row r="613" ht="14.25" customHeight="1" s="62">
      <c r="A613" s="1" t="n"/>
    </row>
    <row r="614" ht="14.25" customHeight="1" s="62">
      <c r="A614" s="1" t="n"/>
    </row>
    <row r="615" ht="14.25" customHeight="1" s="62">
      <c r="A615" s="1" t="n"/>
    </row>
    <row r="616" ht="14.25" customHeight="1" s="62">
      <c r="A616" s="1" t="n"/>
    </row>
    <row r="617" ht="14.25" customHeight="1" s="62">
      <c r="A617" s="1" t="n"/>
    </row>
    <row r="618" ht="14.25" customHeight="1" s="62">
      <c r="A618" s="1" t="n"/>
    </row>
    <row r="619" ht="14.25" customHeight="1" s="62">
      <c r="A619" s="1" t="n"/>
    </row>
    <row r="620" ht="14.25" customHeight="1" s="62">
      <c r="A620" s="1" t="n"/>
    </row>
    <row r="621" ht="14.25" customHeight="1" s="62">
      <c r="A621" s="1" t="n"/>
    </row>
    <row r="622" ht="14.25" customHeight="1" s="62">
      <c r="A622" s="1" t="n"/>
    </row>
    <row r="623" ht="14.25" customHeight="1" s="62">
      <c r="A623" s="1" t="n"/>
    </row>
    <row r="624" ht="14.25" customHeight="1" s="62">
      <c r="A624" s="1" t="n"/>
    </row>
    <row r="625" ht="14.25" customHeight="1" s="62">
      <c r="A625" s="1" t="n"/>
    </row>
    <row r="626" ht="14.25" customHeight="1" s="62">
      <c r="A626" s="1" t="n"/>
    </row>
    <row r="627" ht="14.25" customHeight="1" s="62">
      <c r="A627" s="1" t="n"/>
    </row>
    <row r="628" ht="14.25" customHeight="1" s="62">
      <c r="A628" s="1" t="n"/>
    </row>
    <row r="629" ht="14.25" customHeight="1" s="62">
      <c r="A629" s="1" t="n"/>
    </row>
    <row r="630" ht="14.25" customHeight="1" s="62">
      <c r="A630" s="1" t="n"/>
    </row>
    <row r="631" ht="14.25" customHeight="1" s="62">
      <c r="A631" s="1" t="n"/>
    </row>
    <row r="632" ht="14.25" customHeight="1" s="62">
      <c r="A632" s="1" t="n"/>
    </row>
    <row r="633" ht="14.25" customHeight="1" s="62">
      <c r="A633" s="1" t="n"/>
    </row>
    <row r="634" ht="14.25" customHeight="1" s="62">
      <c r="A634" s="1" t="n"/>
    </row>
    <row r="635" ht="14.25" customHeight="1" s="62">
      <c r="A635" s="1" t="n"/>
    </row>
    <row r="636" ht="14.25" customHeight="1" s="62">
      <c r="A636" s="1" t="n"/>
    </row>
    <row r="637" ht="14.25" customHeight="1" s="62">
      <c r="A637" s="1" t="n"/>
    </row>
    <row r="638" ht="14.25" customHeight="1" s="62">
      <c r="A638" s="1" t="n"/>
    </row>
    <row r="639" ht="14.25" customHeight="1" s="62">
      <c r="A639" s="1" t="n"/>
    </row>
    <row r="640" ht="14.25" customHeight="1" s="62">
      <c r="A640" s="1" t="n"/>
    </row>
    <row r="641" ht="14.25" customHeight="1" s="62">
      <c r="A641" s="1" t="n"/>
    </row>
    <row r="642" ht="14.25" customHeight="1" s="62">
      <c r="A642" s="1" t="n"/>
    </row>
    <row r="643" ht="14.25" customHeight="1" s="62">
      <c r="A643" s="1" t="n"/>
    </row>
    <row r="644" ht="14.25" customHeight="1" s="62">
      <c r="A644" s="1" t="n"/>
    </row>
    <row r="645" ht="14.25" customHeight="1" s="62">
      <c r="A645" s="1" t="n"/>
    </row>
    <row r="646" ht="14.25" customHeight="1" s="62">
      <c r="A646" s="1" t="n"/>
    </row>
    <row r="647" ht="14.25" customHeight="1" s="62">
      <c r="A647" s="1" t="n"/>
    </row>
    <row r="648" ht="14.25" customHeight="1" s="62">
      <c r="A648" s="1" t="n"/>
    </row>
    <row r="649" ht="14.25" customHeight="1" s="62">
      <c r="A649" s="1" t="n"/>
    </row>
    <row r="650" ht="14.25" customHeight="1" s="62">
      <c r="A650" s="1" t="n"/>
    </row>
    <row r="651" ht="14.25" customHeight="1" s="62">
      <c r="A651" s="1" t="n"/>
    </row>
    <row r="652" ht="14.25" customHeight="1" s="62">
      <c r="A652" s="1" t="n"/>
    </row>
    <row r="653" ht="14.25" customHeight="1" s="62">
      <c r="A653" s="1" t="n"/>
    </row>
    <row r="654" ht="14.25" customHeight="1" s="62">
      <c r="A654" s="1" t="n"/>
    </row>
    <row r="655" ht="14.25" customHeight="1" s="62">
      <c r="A655" s="1" t="n"/>
    </row>
    <row r="656" ht="14.25" customHeight="1" s="62">
      <c r="A656" s="1" t="n"/>
    </row>
    <row r="657" ht="14.25" customHeight="1" s="62">
      <c r="A657" s="1" t="n"/>
    </row>
    <row r="658" ht="14.25" customHeight="1" s="62">
      <c r="A658" s="1" t="n"/>
    </row>
    <row r="659" ht="14.25" customHeight="1" s="62">
      <c r="A659" s="1" t="n"/>
    </row>
    <row r="660" ht="14.25" customHeight="1" s="62">
      <c r="A660" s="1" t="n"/>
    </row>
    <row r="661" ht="14.25" customHeight="1" s="62">
      <c r="A661" s="1" t="n"/>
    </row>
    <row r="662" ht="14.25" customHeight="1" s="62">
      <c r="A662" s="1" t="n"/>
    </row>
    <row r="663" ht="14.25" customHeight="1" s="62">
      <c r="A663" s="1" t="n"/>
    </row>
    <row r="664" ht="14.25" customHeight="1" s="62">
      <c r="A664" s="1" t="n"/>
    </row>
    <row r="665" ht="14.25" customHeight="1" s="62">
      <c r="A665" s="1" t="n"/>
    </row>
    <row r="666" ht="14.25" customHeight="1" s="62">
      <c r="A666" s="1" t="n"/>
    </row>
    <row r="667" ht="14.25" customHeight="1" s="62">
      <c r="A667" s="1" t="n"/>
    </row>
    <row r="668" ht="14.25" customHeight="1" s="62">
      <c r="A668" s="1" t="n"/>
    </row>
    <row r="669" ht="14.25" customHeight="1" s="62">
      <c r="A669" s="1" t="n"/>
    </row>
    <row r="670" ht="14.25" customHeight="1" s="62">
      <c r="A670" s="1" t="n"/>
    </row>
    <row r="671" ht="14.25" customHeight="1" s="62">
      <c r="A671" s="1" t="n"/>
    </row>
    <row r="672" ht="14.25" customHeight="1" s="62">
      <c r="A672" s="1" t="n"/>
    </row>
    <row r="673" ht="14.25" customHeight="1" s="62">
      <c r="A673" s="1" t="n"/>
    </row>
    <row r="674" ht="14.25" customHeight="1" s="62">
      <c r="A674" s="1" t="n"/>
    </row>
    <row r="675" ht="14.25" customHeight="1" s="62">
      <c r="A675" s="1" t="n"/>
    </row>
    <row r="676" ht="14.25" customHeight="1" s="62">
      <c r="A676" s="1" t="n"/>
    </row>
    <row r="677" ht="14.25" customHeight="1" s="62">
      <c r="A677" s="1" t="n"/>
    </row>
    <row r="678" ht="14.25" customHeight="1" s="62">
      <c r="A678" s="1" t="n"/>
    </row>
    <row r="679" ht="14.25" customHeight="1" s="62">
      <c r="A679" s="1" t="n"/>
    </row>
    <row r="680" ht="14.25" customHeight="1" s="62">
      <c r="A680" s="1" t="n"/>
    </row>
    <row r="681" ht="14.25" customHeight="1" s="62">
      <c r="A681" s="1" t="n"/>
    </row>
    <row r="682" ht="14.25" customHeight="1" s="62">
      <c r="A682" s="1" t="n"/>
    </row>
    <row r="683" ht="14.25" customHeight="1" s="62">
      <c r="A683" s="1" t="n"/>
    </row>
    <row r="684" ht="14.25" customHeight="1" s="62">
      <c r="A684" s="1" t="n"/>
    </row>
    <row r="685" ht="14.25" customHeight="1" s="62">
      <c r="A685" s="1" t="n"/>
    </row>
    <row r="686" ht="14.25" customHeight="1" s="62">
      <c r="A686" s="1" t="n"/>
    </row>
    <row r="687" ht="14.25" customHeight="1" s="62">
      <c r="A687" s="1" t="n"/>
    </row>
    <row r="688" ht="14.25" customHeight="1" s="62">
      <c r="A688" s="1" t="n"/>
    </row>
    <row r="689" ht="14.25" customHeight="1" s="62">
      <c r="A689" s="1" t="n"/>
    </row>
    <row r="690" ht="14.25" customHeight="1" s="62">
      <c r="A690" s="1" t="n"/>
    </row>
    <row r="691" ht="14.25" customHeight="1" s="62">
      <c r="A691" s="1" t="n"/>
    </row>
    <row r="692" ht="14.25" customHeight="1" s="62">
      <c r="A692" s="1" t="n"/>
    </row>
    <row r="693" ht="14.25" customHeight="1" s="62">
      <c r="A693" s="1" t="n"/>
    </row>
    <row r="694" ht="14.25" customHeight="1" s="62">
      <c r="A694" s="1" t="n"/>
    </row>
    <row r="695" ht="14.25" customHeight="1" s="62">
      <c r="A695" s="1" t="n"/>
    </row>
    <row r="696" ht="14.25" customHeight="1" s="62">
      <c r="A696" s="1" t="n"/>
    </row>
    <row r="697" ht="14.25" customHeight="1" s="62">
      <c r="A697" s="1" t="n"/>
    </row>
    <row r="698" ht="14.25" customHeight="1" s="62">
      <c r="A698" s="1" t="n"/>
    </row>
    <row r="699" ht="14.25" customHeight="1" s="62">
      <c r="A699" s="1" t="n"/>
    </row>
    <row r="700" ht="14.25" customHeight="1" s="62">
      <c r="A700" s="1" t="n"/>
    </row>
    <row r="701" ht="14.25" customHeight="1" s="62">
      <c r="A701" s="1" t="n"/>
    </row>
    <row r="702" ht="14.25" customHeight="1" s="62">
      <c r="A702" s="1" t="n"/>
    </row>
    <row r="703" ht="14.25" customHeight="1" s="62">
      <c r="A703" s="1" t="n"/>
    </row>
    <row r="704" ht="14.25" customHeight="1" s="62">
      <c r="A704" s="1" t="n"/>
    </row>
    <row r="705" ht="14.25" customHeight="1" s="62">
      <c r="A705" s="1" t="n"/>
    </row>
    <row r="706" ht="14.25" customHeight="1" s="62">
      <c r="A706" s="1" t="n"/>
    </row>
    <row r="707" ht="14.25" customHeight="1" s="62">
      <c r="A707" s="1" t="n"/>
    </row>
    <row r="708" ht="14.25" customHeight="1" s="62">
      <c r="A708" s="1" t="n"/>
    </row>
    <row r="709" ht="14.25" customHeight="1" s="62">
      <c r="A709" s="1" t="n"/>
    </row>
    <row r="710" ht="14.25" customHeight="1" s="62">
      <c r="A710" s="1" t="n"/>
    </row>
    <row r="711" ht="14.25" customHeight="1" s="62">
      <c r="A711" s="1" t="n"/>
    </row>
    <row r="712" ht="14.25" customHeight="1" s="62">
      <c r="A712" s="1" t="n"/>
    </row>
    <row r="713" ht="14.25" customHeight="1" s="62">
      <c r="A713" s="1" t="n"/>
    </row>
    <row r="714" ht="14.25" customHeight="1" s="62">
      <c r="A714" s="1" t="n"/>
    </row>
    <row r="715" ht="14.25" customHeight="1" s="62">
      <c r="A715" s="1" t="n"/>
    </row>
    <row r="716" ht="14.25" customHeight="1" s="62">
      <c r="A716" s="1" t="n"/>
    </row>
    <row r="717" ht="14.25" customHeight="1" s="62">
      <c r="A717" s="1" t="n"/>
    </row>
    <row r="718" ht="14.25" customHeight="1" s="62">
      <c r="A718" s="1" t="n"/>
    </row>
    <row r="719" ht="14.25" customHeight="1" s="62">
      <c r="A719" s="1" t="n"/>
    </row>
    <row r="720" ht="14.25" customHeight="1" s="62">
      <c r="A720" s="1" t="n"/>
    </row>
    <row r="721" ht="14.25" customHeight="1" s="62">
      <c r="A721" s="1" t="n"/>
    </row>
    <row r="722" ht="14.25" customHeight="1" s="62">
      <c r="A722" s="1" t="n"/>
    </row>
    <row r="723" ht="14.25" customHeight="1" s="62">
      <c r="A723" s="1" t="n"/>
    </row>
    <row r="724" ht="14.25" customHeight="1" s="62">
      <c r="A724" s="1" t="n"/>
    </row>
    <row r="725" ht="14.25" customHeight="1" s="62">
      <c r="A725" s="1" t="n"/>
    </row>
    <row r="726" ht="14.25" customHeight="1" s="62">
      <c r="A726" s="1" t="n"/>
    </row>
    <row r="727" ht="14.25" customHeight="1" s="62">
      <c r="A727" s="1" t="n"/>
    </row>
    <row r="728" ht="14.25" customHeight="1" s="62">
      <c r="A728" s="1" t="n"/>
    </row>
    <row r="729" ht="14.25" customHeight="1" s="62">
      <c r="A729" s="1" t="n"/>
    </row>
    <row r="730" ht="14.25" customHeight="1" s="62">
      <c r="A730" s="1" t="n"/>
    </row>
    <row r="731" ht="14.25" customHeight="1" s="62">
      <c r="A731" s="1" t="n"/>
    </row>
    <row r="732" ht="14.25" customHeight="1" s="62">
      <c r="A732" s="1" t="n"/>
    </row>
    <row r="733" ht="14.25" customHeight="1" s="62">
      <c r="A733" s="1" t="n"/>
    </row>
    <row r="734" ht="14.25" customHeight="1" s="62">
      <c r="A734" s="1" t="n"/>
    </row>
    <row r="735" ht="14.25" customHeight="1" s="62">
      <c r="A735" s="1" t="n"/>
    </row>
    <row r="736" ht="14.25" customHeight="1" s="62">
      <c r="A736" s="1" t="n"/>
    </row>
    <row r="737" ht="14.25" customHeight="1" s="62">
      <c r="A737" s="1" t="n"/>
    </row>
    <row r="738" ht="14.25" customHeight="1" s="62">
      <c r="A738" s="1" t="n"/>
    </row>
    <row r="739" ht="14.25" customHeight="1" s="62">
      <c r="A739" s="1" t="n"/>
    </row>
    <row r="740" ht="14.25" customHeight="1" s="62">
      <c r="A740" s="1" t="n"/>
    </row>
    <row r="741" ht="14.25" customHeight="1" s="62">
      <c r="A741" s="1" t="n"/>
    </row>
    <row r="742" ht="14.25" customHeight="1" s="62">
      <c r="A742" s="1" t="n"/>
    </row>
    <row r="743" ht="14.25" customHeight="1" s="62">
      <c r="A743" s="1" t="n"/>
    </row>
    <row r="744" ht="14.25" customHeight="1" s="62">
      <c r="A744" s="1" t="n"/>
    </row>
    <row r="745" ht="14.25" customHeight="1" s="62">
      <c r="A745" s="1" t="n"/>
    </row>
    <row r="746" ht="14.25" customHeight="1" s="62">
      <c r="A746" s="1" t="n"/>
    </row>
    <row r="747" ht="14.25" customHeight="1" s="62">
      <c r="A747" s="1" t="n"/>
    </row>
    <row r="748" ht="14.25" customHeight="1" s="62">
      <c r="A748" s="1" t="n"/>
    </row>
    <row r="749" ht="14.25" customHeight="1" s="62">
      <c r="A749" s="1" t="n"/>
    </row>
    <row r="750" ht="14.25" customHeight="1" s="62">
      <c r="A750" s="1" t="n"/>
    </row>
    <row r="751" ht="14.25" customHeight="1" s="62">
      <c r="A751" s="1" t="n"/>
    </row>
    <row r="752" ht="14.25" customHeight="1" s="62">
      <c r="A752" s="1" t="n"/>
    </row>
    <row r="753" ht="14.25" customHeight="1" s="62">
      <c r="A753" s="1" t="n"/>
    </row>
    <row r="754" ht="14.25" customHeight="1" s="62">
      <c r="A754" s="1" t="n"/>
    </row>
    <row r="755" ht="14.25" customHeight="1" s="62">
      <c r="A755" s="1" t="n"/>
    </row>
    <row r="756" ht="14.25" customHeight="1" s="62">
      <c r="A756" s="1" t="n"/>
    </row>
    <row r="757" ht="14.25" customHeight="1" s="62">
      <c r="A757" s="1" t="n"/>
    </row>
    <row r="758" ht="14.25" customHeight="1" s="62">
      <c r="A758" s="1" t="n"/>
    </row>
    <row r="759" ht="14.25" customHeight="1" s="62">
      <c r="A759" s="1" t="n"/>
    </row>
    <row r="760" ht="14.25" customHeight="1" s="62">
      <c r="A760" s="1" t="n"/>
    </row>
    <row r="761" ht="14.25" customHeight="1" s="62">
      <c r="A761" s="1" t="n"/>
    </row>
    <row r="762" ht="14.25" customHeight="1" s="62">
      <c r="A762" s="1" t="n"/>
    </row>
    <row r="763" ht="14.25" customHeight="1" s="62">
      <c r="A763" s="1" t="n"/>
    </row>
    <row r="764" ht="14.25" customHeight="1" s="62">
      <c r="A764" s="1" t="n"/>
    </row>
    <row r="765" ht="14.25" customHeight="1" s="62">
      <c r="A765" s="1" t="n"/>
    </row>
    <row r="766" ht="14.25" customHeight="1" s="62">
      <c r="A766" s="1" t="n"/>
    </row>
    <row r="767" ht="14.25" customHeight="1" s="62">
      <c r="A767" s="1" t="n"/>
    </row>
    <row r="768" ht="14.25" customHeight="1" s="62">
      <c r="A768" s="1" t="n"/>
    </row>
    <row r="769" ht="14.25" customHeight="1" s="62">
      <c r="A769" s="1" t="n"/>
    </row>
    <row r="770" ht="14.25" customHeight="1" s="62">
      <c r="A770" s="1" t="n"/>
    </row>
    <row r="771" ht="14.25" customHeight="1" s="62">
      <c r="A771" s="1" t="n"/>
    </row>
    <row r="772" ht="14.25" customHeight="1" s="62">
      <c r="A772" s="1" t="n"/>
    </row>
    <row r="773" ht="14.25" customHeight="1" s="62">
      <c r="A773" s="1" t="n"/>
    </row>
    <row r="774" ht="14.25" customHeight="1" s="62">
      <c r="A774" s="1" t="n"/>
    </row>
    <row r="775" ht="14.25" customHeight="1" s="62">
      <c r="A775" s="1" t="n"/>
    </row>
    <row r="776" ht="14.25" customHeight="1" s="62">
      <c r="A776" s="1" t="n"/>
    </row>
    <row r="777" ht="14.25" customHeight="1" s="62">
      <c r="A777" s="1" t="n"/>
    </row>
    <row r="778" ht="14.25" customHeight="1" s="62">
      <c r="A778" s="1" t="n"/>
    </row>
    <row r="779" ht="14.25" customHeight="1" s="62">
      <c r="A779" s="1" t="n"/>
    </row>
    <row r="780" ht="14.25" customHeight="1" s="62">
      <c r="A780" s="1" t="n"/>
    </row>
    <row r="781" ht="14.25" customHeight="1" s="62">
      <c r="A781" s="1" t="n"/>
    </row>
    <row r="782" ht="14.25" customHeight="1" s="62">
      <c r="A782" s="1" t="n"/>
    </row>
    <row r="783" ht="14.25" customHeight="1" s="62">
      <c r="A783" s="1" t="n"/>
    </row>
    <row r="784" ht="14.25" customHeight="1" s="62">
      <c r="A784" s="1" t="n"/>
    </row>
    <row r="785" ht="14.25" customHeight="1" s="62">
      <c r="A785" s="1" t="n"/>
    </row>
    <row r="786" ht="14.25" customHeight="1" s="62">
      <c r="A786" s="1" t="n"/>
    </row>
    <row r="787" ht="14.25" customHeight="1" s="62">
      <c r="A787" s="1" t="n"/>
    </row>
    <row r="788" ht="14.25" customHeight="1" s="62">
      <c r="A788" s="1" t="n"/>
    </row>
    <row r="789" ht="14.25" customHeight="1" s="62">
      <c r="A789" s="1" t="n"/>
    </row>
    <row r="790" ht="14.25" customHeight="1" s="62">
      <c r="A790" s="1" t="n"/>
    </row>
    <row r="791" ht="14.25" customHeight="1" s="62">
      <c r="A791" s="1" t="n"/>
    </row>
    <row r="792" ht="14.25" customHeight="1" s="62">
      <c r="A792" s="1" t="n"/>
    </row>
    <row r="793" ht="14.25" customHeight="1" s="62">
      <c r="A793" s="1" t="n"/>
    </row>
    <row r="794" ht="14.25" customHeight="1" s="62">
      <c r="A794" s="1" t="n"/>
    </row>
    <row r="795" ht="14.25" customHeight="1" s="62">
      <c r="A795" s="1" t="n"/>
    </row>
    <row r="796" ht="14.25" customHeight="1" s="62">
      <c r="A796" s="1" t="n"/>
    </row>
    <row r="797" ht="14.25" customHeight="1" s="62">
      <c r="A797" s="1" t="n"/>
    </row>
    <row r="798" ht="14.25" customHeight="1" s="62">
      <c r="A798" s="1" t="n"/>
    </row>
    <row r="799" ht="14.25" customHeight="1" s="62">
      <c r="A799" s="1" t="n"/>
    </row>
    <row r="800" ht="14.25" customHeight="1" s="62">
      <c r="A800" s="1" t="n"/>
    </row>
    <row r="801" ht="14.25" customHeight="1" s="62">
      <c r="A801" s="1" t="n"/>
    </row>
    <row r="802" ht="14.25" customHeight="1" s="62">
      <c r="A802" s="1" t="n"/>
    </row>
    <row r="803" ht="14.25" customHeight="1" s="62">
      <c r="A803" s="1" t="n"/>
    </row>
    <row r="804" ht="14.25" customHeight="1" s="62">
      <c r="A804" s="1" t="n"/>
    </row>
    <row r="805" ht="14.25" customHeight="1" s="62">
      <c r="A805" s="1" t="n"/>
    </row>
    <row r="806" ht="14.25" customHeight="1" s="62">
      <c r="A806" s="1" t="n"/>
    </row>
    <row r="807" ht="14.25" customHeight="1" s="62">
      <c r="A807" s="1" t="n"/>
    </row>
    <row r="808" ht="14.25" customHeight="1" s="62">
      <c r="A808" s="1" t="n"/>
    </row>
    <row r="809" ht="14.25" customHeight="1" s="62">
      <c r="A809" s="1" t="n"/>
    </row>
    <row r="810" ht="14.25" customHeight="1" s="62">
      <c r="A810" s="1" t="n"/>
    </row>
    <row r="811" ht="14.25" customHeight="1" s="62">
      <c r="A811" s="1" t="n"/>
    </row>
    <row r="812" ht="14.25" customHeight="1" s="62">
      <c r="A812" s="1" t="n"/>
    </row>
    <row r="813" ht="14.25" customHeight="1" s="62">
      <c r="A813" s="1" t="n"/>
    </row>
    <row r="814" ht="14.25" customHeight="1" s="62">
      <c r="A814" s="1" t="n"/>
    </row>
    <row r="815" ht="14.25" customHeight="1" s="62">
      <c r="A815" s="1" t="n"/>
    </row>
    <row r="816" ht="14.25" customHeight="1" s="62">
      <c r="A816" s="1" t="n"/>
    </row>
    <row r="817" ht="14.25" customHeight="1" s="62">
      <c r="A817" s="1" t="n"/>
    </row>
    <row r="818" ht="14.25" customHeight="1" s="62">
      <c r="A818" s="1" t="n"/>
    </row>
    <row r="819" ht="14.25" customHeight="1" s="62">
      <c r="A819" s="1" t="n"/>
    </row>
    <row r="820" ht="14.25" customHeight="1" s="62">
      <c r="A820" s="1" t="n"/>
    </row>
    <row r="821" ht="14.25" customHeight="1" s="62">
      <c r="A821" s="1" t="n"/>
    </row>
    <row r="822" ht="14.25" customHeight="1" s="62">
      <c r="A822" s="1" t="n"/>
    </row>
    <row r="823" ht="14.25" customHeight="1" s="62">
      <c r="A823" s="1" t="n"/>
    </row>
    <row r="824" ht="14.25" customHeight="1" s="62">
      <c r="A824" s="1" t="n"/>
    </row>
    <row r="825" ht="14.25" customHeight="1" s="62">
      <c r="A825" s="1" t="n"/>
    </row>
    <row r="826" ht="14.25" customHeight="1" s="62">
      <c r="A826" s="1" t="n"/>
    </row>
    <row r="827" ht="14.25" customHeight="1" s="62">
      <c r="A827" s="1" t="n"/>
    </row>
    <row r="828" ht="14.25" customHeight="1" s="62">
      <c r="A828" s="1" t="n"/>
    </row>
    <row r="829" ht="14.25" customHeight="1" s="62">
      <c r="A829" s="1" t="n"/>
    </row>
    <row r="830" ht="14.25" customHeight="1" s="62">
      <c r="A830" s="1" t="n"/>
    </row>
    <row r="831" ht="14.25" customHeight="1" s="62">
      <c r="A831" s="1" t="n"/>
    </row>
    <row r="832" ht="14.25" customHeight="1" s="62">
      <c r="A832" s="1" t="n"/>
    </row>
    <row r="833" ht="14.25" customHeight="1" s="62">
      <c r="A833" s="1" t="n"/>
    </row>
    <row r="834" ht="14.25" customHeight="1" s="62">
      <c r="A834" s="1" t="n"/>
    </row>
    <row r="835" ht="14.25" customHeight="1" s="62">
      <c r="A835" s="1" t="n"/>
    </row>
    <row r="836" ht="14.25" customHeight="1" s="62">
      <c r="A836" s="1" t="n"/>
    </row>
    <row r="837" ht="14.25" customHeight="1" s="62">
      <c r="A837" s="1" t="n"/>
    </row>
    <row r="838" ht="14.25" customHeight="1" s="62">
      <c r="A838" s="1" t="n"/>
    </row>
    <row r="839" ht="14.25" customHeight="1" s="62">
      <c r="A839" s="1" t="n"/>
    </row>
    <row r="840" ht="14.25" customHeight="1" s="62">
      <c r="A840" s="1" t="n"/>
    </row>
    <row r="841" ht="14.25" customHeight="1" s="62">
      <c r="A841" s="1" t="n"/>
    </row>
    <row r="842" ht="14.25" customHeight="1" s="62">
      <c r="A842" s="1" t="n"/>
    </row>
    <row r="843" ht="14.25" customHeight="1" s="62">
      <c r="A843" s="1" t="n"/>
    </row>
    <row r="844" ht="14.25" customHeight="1" s="62">
      <c r="A844" s="1" t="n"/>
    </row>
    <row r="845" ht="14.25" customHeight="1" s="62">
      <c r="A845" s="1" t="n"/>
    </row>
    <row r="846" ht="14.25" customHeight="1" s="62">
      <c r="A846" s="1" t="n"/>
    </row>
    <row r="847" ht="14.25" customHeight="1" s="62">
      <c r="A847" s="1" t="n"/>
    </row>
    <row r="848" ht="14.25" customHeight="1" s="62">
      <c r="A848" s="1" t="n"/>
    </row>
    <row r="849" ht="14.25" customHeight="1" s="62">
      <c r="A849" s="1" t="n"/>
    </row>
    <row r="850" ht="14.25" customHeight="1" s="62">
      <c r="A850" s="1" t="n"/>
    </row>
    <row r="851" ht="14.25" customHeight="1" s="62">
      <c r="A851" s="1" t="n"/>
    </row>
    <row r="852" ht="14.25" customHeight="1" s="62">
      <c r="A852" s="1" t="n"/>
    </row>
    <row r="853" ht="14.25" customHeight="1" s="62">
      <c r="A853" s="1" t="n"/>
    </row>
    <row r="854" ht="14.25" customHeight="1" s="62">
      <c r="A854" s="1" t="n"/>
    </row>
    <row r="855" ht="14.25" customHeight="1" s="62">
      <c r="A855" s="1" t="n"/>
    </row>
    <row r="856" ht="14.25" customHeight="1" s="62">
      <c r="A856" s="1" t="n"/>
    </row>
    <row r="857" ht="14.25" customHeight="1" s="62">
      <c r="A857" s="1" t="n"/>
    </row>
    <row r="858" ht="14.25" customHeight="1" s="62">
      <c r="A858" s="1" t="n"/>
    </row>
    <row r="859" ht="14.25" customHeight="1" s="62">
      <c r="A859" s="1" t="n"/>
    </row>
    <row r="860" ht="14.25" customHeight="1" s="62">
      <c r="A860" s="1" t="n"/>
    </row>
    <row r="861" ht="14.25" customHeight="1" s="62">
      <c r="A861" s="1" t="n"/>
    </row>
    <row r="862" ht="14.25" customHeight="1" s="62">
      <c r="A862" s="1" t="n"/>
    </row>
    <row r="863" ht="14.25" customHeight="1" s="62">
      <c r="A863" s="1" t="n"/>
    </row>
    <row r="864" ht="14.25" customHeight="1" s="62">
      <c r="A864" s="1" t="n"/>
    </row>
    <row r="865" ht="14.25" customHeight="1" s="62">
      <c r="A865" s="1" t="n"/>
    </row>
    <row r="866" ht="14.25" customHeight="1" s="62">
      <c r="A866" s="1" t="n"/>
    </row>
    <row r="867" ht="14.25" customHeight="1" s="62">
      <c r="A867" s="1" t="n"/>
    </row>
    <row r="868" ht="14.25" customHeight="1" s="62">
      <c r="A868" s="1" t="n"/>
    </row>
    <row r="869" ht="14.25" customHeight="1" s="62">
      <c r="A869" s="1" t="n"/>
    </row>
    <row r="870" ht="14.25" customHeight="1" s="62">
      <c r="A870" s="1" t="n"/>
    </row>
    <row r="871" ht="14.25" customHeight="1" s="62">
      <c r="A871" s="1" t="n"/>
    </row>
    <row r="872" ht="14.25" customHeight="1" s="62">
      <c r="A872" s="1" t="n"/>
    </row>
    <row r="873" ht="14.25" customHeight="1" s="62">
      <c r="A873" s="1" t="n"/>
    </row>
    <row r="874" ht="14.25" customHeight="1" s="62">
      <c r="A874" s="1" t="n"/>
    </row>
    <row r="875" ht="14.25" customHeight="1" s="62">
      <c r="A875" s="1" t="n"/>
    </row>
    <row r="876" ht="14.25" customHeight="1" s="62">
      <c r="A876" s="1" t="n"/>
    </row>
    <row r="877" ht="14.25" customHeight="1" s="62">
      <c r="A877" s="1" t="n"/>
    </row>
    <row r="878" ht="14.25" customHeight="1" s="62">
      <c r="A878" s="1" t="n"/>
    </row>
    <row r="879" ht="14.25" customHeight="1" s="62">
      <c r="A879" s="1" t="n"/>
    </row>
    <row r="880" ht="14.25" customHeight="1" s="62">
      <c r="A880" s="1" t="n"/>
    </row>
    <row r="881" ht="14.25" customHeight="1" s="62">
      <c r="A881" s="1" t="n"/>
    </row>
    <row r="882" ht="14.25" customHeight="1" s="62">
      <c r="A882" s="1" t="n"/>
    </row>
    <row r="883" ht="14.25" customHeight="1" s="62">
      <c r="A883" s="1" t="n"/>
    </row>
    <row r="884" ht="14.25" customHeight="1" s="62">
      <c r="A884" s="1" t="n"/>
    </row>
    <row r="885" ht="14.25" customHeight="1" s="62">
      <c r="A885" s="1" t="n"/>
    </row>
    <row r="886" ht="14.25" customHeight="1" s="62">
      <c r="A886" s="1" t="n"/>
    </row>
    <row r="887" ht="14.25" customHeight="1" s="62">
      <c r="A887" s="1" t="n"/>
    </row>
    <row r="888" ht="14.25" customHeight="1" s="62">
      <c r="A888" s="1" t="n"/>
    </row>
    <row r="889" ht="14.25" customHeight="1" s="62">
      <c r="A889" s="1" t="n"/>
    </row>
    <row r="890" ht="14.25" customHeight="1" s="62">
      <c r="A890" s="1" t="n"/>
    </row>
    <row r="891" ht="14.25" customHeight="1" s="62">
      <c r="A891" s="1" t="n"/>
    </row>
    <row r="892" ht="14.25" customHeight="1" s="62">
      <c r="A892" s="1" t="n"/>
    </row>
    <row r="893" ht="14.25" customHeight="1" s="62">
      <c r="A893" s="1" t="n"/>
    </row>
    <row r="894" ht="14.25" customHeight="1" s="62">
      <c r="A894" s="1" t="n"/>
    </row>
    <row r="895" ht="14.25" customHeight="1" s="62">
      <c r="A895" s="1" t="n"/>
    </row>
    <row r="896" ht="14.25" customHeight="1" s="62">
      <c r="A896" s="1" t="n"/>
    </row>
    <row r="897" ht="14.25" customHeight="1" s="62">
      <c r="A897" s="1" t="n"/>
    </row>
    <row r="898" ht="14.25" customHeight="1" s="62">
      <c r="A898" s="1" t="n"/>
    </row>
    <row r="899" ht="14.25" customHeight="1" s="62">
      <c r="A899" s="1" t="n"/>
    </row>
    <row r="900" ht="14.25" customHeight="1" s="62">
      <c r="A900" s="1" t="n"/>
    </row>
    <row r="901" ht="14.25" customHeight="1" s="62">
      <c r="A901" s="1" t="n"/>
    </row>
    <row r="902" ht="14.25" customHeight="1" s="62">
      <c r="A902" s="1" t="n"/>
    </row>
    <row r="903" ht="14.25" customHeight="1" s="62">
      <c r="A903" s="1" t="n"/>
    </row>
    <row r="904" ht="14.25" customHeight="1" s="62">
      <c r="A904" s="1" t="n"/>
    </row>
    <row r="905" ht="14.25" customHeight="1" s="62">
      <c r="A905" s="1" t="n"/>
    </row>
    <row r="906" ht="14.25" customHeight="1" s="62">
      <c r="A906" s="1" t="n"/>
    </row>
    <row r="907" ht="14.25" customHeight="1" s="62">
      <c r="A907" s="1" t="n"/>
    </row>
    <row r="908" ht="14.25" customHeight="1" s="62">
      <c r="A908" s="1" t="n"/>
    </row>
    <row r="909" ht="14.25" customHeight="1" s="62">
      <c r="A909" s="1" t="n"/>
    </row>
    <row r="910" ht="14.25" customHeight="1" s="62">
      <c r="A910" s="1" t="n"/>
    </row>
    <row r="911" ht="14.25" customHeight="1" s="62">
      <c r="A911" s="1" t="n"/>
    </row>
    <row r="912" ht="14.25" customHeight="1" s="62">
      <c r="A912" s="1" t="n"/>
    </row>
    <row r="913" ht="14.25" customHeight="1" s="62">
      <c r="A913" s="1" t="n"/>
    </row>
    <row r="914" ht="14.25" customHeight="1" s="62">
      <c r="A914" s="1" t="n"/>
    </row>
    <row r="915" ht="14.25" customHeight="1" s="62">
      <c r="A915" s="1" t="n"/>
    </row>
    <row r="916" ht="14.25" customHeight="1" s="62">
      <c r="A916" s="1" t="n"/>
    </row>
    <row r="917" ht="14.25" customHeight="1" s="62">
      <c r="A917" s="1" t="n"/>
    </row>
    <row r="918" ht="14.25" customHeight="1" s="62">
      <c r="A918" s="1" t="n"/>
    </row>
    <row r="919" ht="14.25" customHeight="1" s="62">
      <c r="A919" s="1" t="n"/>
    </row>
    <row r="920" ht="14.25" customHeight="1" s="62">
      <c r="A920" s="1" t="n"/>
    </row>
    <row r="921" ht="14.25" customHeight="1" s="62">
      <c r="A921" s="1" t="n"/>
    </row>
    <row r="922" ht="14.25" customHeight="1" s="62">
      <c r="A922" s="1" t="n"/>
    </row>
    <row r="923" ht="14.25" customHeight="1" s="62">
      <c r="A923" s="1" t="n"/>
    </row>
    <row r="924" ht="14.25" customHeight="1" s="62">
      <c r="A924" s="1" t="n"/>
    </row>
    <row r="925" ht="14.25" customHeight="1" s="62">
      <c r="A925" s="1" t="n"/>
    </row>
    <row r="926" ht="14.25" customHeight="1" s="62">
      <c r="A926" s="1" t="n"/>
    </row>
    <row r="927" ht="14.25" customHeight="1" s="62">
      <c r="A927" s="1" t="n"/>
    </row>
    <row r="928" ht="14.25" customHeight="1" s="62">
      <c r="A928" s="1" t="n"/>
    </row>
    <row r="929" ht="14.25" customHeight="1" s="62">
      <c r="A929" s="1" t="n"/>
    </row>
    <row r="930" ht="14.25" customHeight="1" s="62">
      <c r="A930" s="1" t="n"/>
    </row>
    <row r="931" ht="14.25" customHeight="1" s="62">
      <c r="A931" s="1" t="n"/>
    </row>
    <row r="932" ht="14.25" customHeight="1" s="62">
      <c r="A932" s="1" t="n"/>
    </row>
    <row r="933" ht="14.25" customHeight="1" s="62">
      <c r="A933" s="1" t="n"/>
    </row>
    <row r="934" ht="14.25" customHeight="1" s="62">
      <c r="A934" s="1" t="n"/>
    </row>
    <row r="935" ht="14.25" customHeight="1" s="62">
      <c r="A935" s="1" t="n"/>
    </row>
    <row r="936" ht="14.25" customHeight="1" s="62">
      <c r="A936" s="1" t="n"/>
    </row>
    <row r="937" ht="14.25" customHeight="1" s="62">
      <c r="A937" s="1" t="n"/>
    </row>
    <row r="938" ht="14.25" customHeight="1" s="62">
      <c r="A938" s="1" t="n"/>
    </row>
    <row r="939" ht="14.25" customHeight="1" s="62">
      <c r="A939" s="1" t="n"/>
    </row>
    <row r="940" ht="14.25" customHeight="1" s="62">
      <c r="A940" s="1" t="n"/>
    </row>
    <row r="941" ht="14.25" customHeight="1" s="62">
      <c r="A941" s="1" t="n"/>
    </row>
    <row r="942" ht="14.25" customHeight="1" s="62">
      <c r="A942" s="1" t="n"/>
    </row>
    <row r="943" ht="14.25" customHeight="1" s="62">
      <c r="A943" s="1" t="n"/>
    </row>
    <row r="944" ht="14.25" customHeight="1" s="62">
      <c r="A944" s="1" t="n"/>
    </row>
    <row r="945" ht="14.25" customHeight="1" s="62">
      <c r="A945" s="1" t="n"/>
    </row>
    <row r="946" ht="14.25" customHeight="1" s="62">
      <c r="A946" s="1" t="n"/>
    </row>
    <row r="947" ht="14.25" customHeight="1" s="62">
      <c r="A947" s="1" t="n"/>
    </row>
    <row r="948" ht="14.25" customHeight="1" s="62">
      <c r="A948" s="1" t="n"/>
    </row>
    <row r="949" ht="14.25" customHeight="1" s="62">
      <c r="A949" s="1" t="n"/>
    </row>
    <row r="950" ht="14.25" customHeight="1" s="62">
      <c r="A950" s="1" t="n"/>
    </row>
    <row r="951" ht="14.25" customHeight="1" s="62">
      <c r="A951" s="1" t="n"/>
    </row>
    <row r="952" ht="14.25" customHeight="1" s="62">
      <c r="A952" s="1" t="n"/>
    </row>
    <row r="953" ht="14.25" customHeight="1" s="62">
      <c r="A953" s="1" t="n"/>
    </row>
    <row r="954" ht="14.25" customHeight="1" s="62">
      <c r="A954" s="1" t="n"/>
    </row>
    <row r="955" ht="14.25" customHeight="1" s="62">
      <c r="A955" s="1" t="n"/>
    </row>
    <row r="956" ht="14.25" customHeight="1" s="62">
      <c r="A956" s="1" t="n"/>
    </row>
    <row r="957" ht="14.25" customHeight="1" s="62">
      <c r="A957" s="1" t="n"/>
    </row>
    <row r="958" ht="14.25" customHeight="1" s="62">
      <c r="A958" s="1" t="n"/>
    </row>
    <row r="959" ht="14.25" customHeight="1" s="62">
      <c r="A959" s="1" t="n"/>
    </row>
    <row r="960" ht="14.25" customHeight="1" s="62">
      <c r="A960" s="1" t="n"/>
    </row>
    <row r="961" ht="14.25" customHeight="1" s="62">
      <c r="A961" s="1" t="n"/>
    </row>
    <row r="962" ht="14.25" customHeight="1" s="62">
      <c r="A962" s="1" t="n"/>
    </row>
    <row r="963" ht="14.25" customHeight="1" s="62">
      <c r="A963" s="1" t="n"/>
    </row>
    <row r="964" ht="14.25" customHeight="1" s="62">
      <c r="A964" s="1" t="n"/>
    </row>
    <row r="965" ht="14.25" customHeight="1" s="62">
      <c r="A965" s="1" t="n"/>
    </row>
    <row r="966" ht="14.25" customHeight="1" s="62">
      <c r="A966" s="1" t="n"/>
    </row>
    <row r="967" ht="14.25" customHeight="1" s="62">
      <c r="A967" s="1" t="n"/>
    </row>
    <row r="968" ht="14.25" customHeight="1" s="62">
      <c r="A968" s="1" t="n"/>
    </row>
    <row r="969" ht="14.25" customHeight="1" s="62">
      <c r="A969" s="1" t="n"/>
    </row>
    <row r="970" ht="14.25" customHeight="1" s="62">
      <c r="A970" s="1" t="n"/>
    </row>
    <row r="971" ht="14.25" customHeight="1" s="62">
      <c r="A971" s="1" t="n"/>
    </row>
    <row r="972" ht="14.25" customHeight="1" s="62">
      <c r="A972" s="1" t="n"/>
    </row>
    <row r="973" ht="14.25" customHeight="1" s="62">
      <c r="A973" s="1" t="n"/>
    </row>
    <row r="974" ht="14.25" customHeight="1" s="62">
      <c r="A974" s="1" t="n"/>
    </row>
    <row r="975" ht="14.25" customHeight="1" s="62">
      <c r="A975" s="1" t="n"/>
    </row>
    <row r="976" ht="14.25" customHeight="1" s="62">
      <c r="A976" s="1" t="n"/>
    </row>
    <row r="977" ht="14.25" customHeight="1" s="62">
      <c r="A977" s="1" t="n"/>
    </row>
    <row r="978" ht="14.25" customHeight="1" s="62">
      <c r="A978" s="1" t="n"/>
    </row>
    <row r="979" ht="14.25" customHeight="1" s="62">
      <c r="A979" s="1" t="n"/>
    </row>
    <row r="980" ht="14.25" customHeight="1" s="62">
      <c r="A980" s="1" t="n"/>
    </row>
    <row r="981" ht="14.25" customHeight="1" s="62">
      <c r="A981" s="1" t="n"/>
    </row>
    <row r="982" ht="14.25" customHeight="1" s="62">
      <c r="A982" s="1" t="n"/>
    </row>
    <row r="983" ht="14.25" customHeight="1" s="62">
      <c r="A983" s="1" t="n"/>
    </row>
    <row r="984" ht="14.25" customHeight="1" s="62">
      <c r="A984" s="1" t="n"/>
    </row>
    <row r="985" ht="14.25" customHeight="1" s="62">
      <c r="A985" s="1" t="n"/>
    </row>
    <row r="986" ht="14.25" customHeight="1" s="62">
      <c r="A986" s="1" t="n"/>
    </row>
    <row r="987" ht="14.25" customHeight="1" s="62">
      <c r="A987" s="1" t="n"/>
    </row>
    <row r="988" ht="14.25" customHeight="1" s="62">
      <c r="A988" s="1" t="n"/>
    </row>
    <row r="989" ht="14.25" customHeight="1" s="62">
      <c r="A989" s="1" t="n"/>
    </row>
    <row r="990" ht="14.25" customHeight="1" s="62">
      <c r="A990" s="1" t="n"/>
    </row>
    <row r="991" ht="14.25" customHeight="1" s="62">
      <c r="A991" s="1" t="n"/>
    </row>
    <row r="992" ht="14.25" customHeight="1" s="62">
      <c r="A992" s="1" t="n"/>
    </row>
    <row r="993" ht="14.25" customHeight="1" s="62">
      <c r="A993" s="1" t="n"/>
    </row>
    <row r="994" ht="14.25" customHeight="1" s="62">
      <c r="A994" s="1" t="n"/>
    </row>
    <row r="995" ht="14.25" customHeight="1" s="62">
      <c r="A995" s="1" t="n"/>
    </row>
    <row r="996" ht="14.25" customHeight="1" s="62">
      <c r="A996" s="1" t="n"/>
    </row>
    <row r="997" ht="14.25" customHeight="1" s="62">
      <c r="A997" s="1" t="n"/>
    </row>
    <row r="998" ht="14.25" customHeight="1" s="62">
      <c r="A998" s="1" t="n"/>
    </row>
    <row r="999" ht="14.25" customHeight="1" s="62"/>
    <row r="1000" ht="14.25" customHeight="1" s="62"/>
  </sheetData>
  <autoFilter ref="$A$2:$BG$41"/>
  <mergeCells count="18">
    <mergeCell ref="AH1:AK1"/>
    <mergeCell ref="AP1:AS1"/>
    <mergeCell ref="C40:I40"/>
    <mergeCell ref="R1:U1"/>
    <mergeCell ref="BF1:BI1"/>
    <mergeCell ref="AL1:AO1"/>
    <mergeCell ref="C39:I39"/>
    <mergeCell ref="N1:Q1"/>
    <mergeCell ref="A37:B37"/>
    <mergeCell ref="AT1:AW1"/>
    <mergeCell ref="AX1:BA1"/>
    <mergeCell ref="V1:Y1"/>
    <mergeCell ref="BB1:BE1"/>
    <mergeCell ref="Z1:AC1"/>
    <mergeCell ref="AD1:AG1"/>
    <mergeCell ref="J1:M1"/>
    <mergeCell ref="A39:B39"/>
    <mergeCell ref="A40:B40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N59"/>
  <sheetViews>
    <sheetView showGridLines="0" workbookViewId="0">
      <selection activeCell="A1" sqref="A1"/>
    </sheetView>
  </sheetViews>
  <sheetFormatPr baseColWidth="8" defaultColWidth="12.63" defaultRowHeight="15" customHeight="1"/>
  <cols>
    <col width="17.5" customWidth="1" style="62" min="1" max="1"/>
    <col width="23.25" customWidth="1" style="62" min="2" max="2"/>
    <col width="15.13" customWidth="1" style="62" min="11" max="11"/>
  </cols>
  <sheetData>
    <row r="1">
      <c r="C1" s="51" t="inlineStr">
        <is>
          <t>PROM ENE</t>
        </is>
      </c>
      <c r="D1" s="51" t="inlineStr">
        <is>
          <t>PROM FEB</t>
        </is>
      </c>
      <c r="E1" s="51" t="inlineStr">
        <is>
          <t>PROM MAR</t>
        </is>
      </c>
      <c r="F1" s="51" t="inlineStr">
        <is>
          <t>PROM ABR</t>
        </is>
      </c>
      <c r="G1" s="51" t="inlineStr">
        <is>
          <t>PROM MAY</t>
        </is>
      </c>
      <c r="H1" s="51" t="inlineStr">
        <is>
          <t>PROM JUN</t>
        </is>
      </c>
      <c r="I1" s="51" t="inlineStr">
        <is>
          <t>PROM JUL</t>
        </is>
      </c>
      <c r="J1" s="51" t="inlineStr">
        <is>
          <t>PROM AGO</t>
        </is>
      </c>
      <c r="K1" s="50" t="inlineStr">
        <is>
          <t>PROM ANUAL</t>
        </is>
      </c>
    </row>
    <row r="2">
      <c r="B2" s="51" t="inlineStr">
        <is>
          <t xml:space="preserve">Valor promedio tx directa </t>
        </is>
      </c>
      <c r="C2" s="47" t="n">
        <v>2876.887383781831</v>
      </c>
      <c r="D2" s="47" t="n">
        <v>2377.21844021478</v>
      </c>
      <c r="E2" s="47" t="n">
        <v>1219.122248813303</v>
      </c>
      <c r="F2" s="47" t="n">
        <v>885.6609710025397</v>
      </c>
      <c r="G2" s="47" t="n">
        <v>862.8027328879441</v>
      </c>
      <c r="H2" s="47" t="n">
        <v>750.1665989291123</v>
      </c>
      <c r="I2" s="47" t="n">
        <v>616.2821932285317</v>
      </c>
      <c r="J2" s="47" t="n">
        <v>524.254536750511</v>
      </c>
      <c r="K2" s="47" t="n">
        <v>1356.123962208266</v>
      </c>
    </row>
    <row r="3">
      <c r="B3" s="51" t="inlineStr">
        <is>
          <t>Valor promedio tx avanter</t>
        </is>
      </c>
      <c r="C3" s="47" t="n">
        <v>25098.2817553192</v>
      </c>
      <c r="D3" s="47" t="n">
        <v>1024.109499840954</v>
      </c>
      <c r="E3" s="47" t="n">
        <v>935.2875539959908</v>
      </c>
      <c r="F3" s="47" t="n">
        <v>8121.047781570897</v>
      </c>
      <c r="G3" s="47" t="n">
        <v>3223.253241721612</v>
      </c>
      <c r="H3" s="47" t="n">
        <v>2002.668879397267</v>
      </c>
      <c r="I3" s="47" t="n">
        <v>1102.784208358219</v>
      </c>
      <c r="J3" s="47" t="n">
        <v>709.0539702695526</v>
      </c>
      <c r="K3" s="47" t="n">
        <v>1473.254290829379</v>
      </c>
    </row>
    <row r="4">
      <c r="B4" s="51" t="inlineStr">
        <is>
          <t>Valor promedio avanter Eticos - BONO MENSUAL</t>
        </is>
      </c>
      <c r="C4" s="47" t="n">
        <v>75191.35636332736</v>
      </c>
      <c r="D4" s="47" t="n">
        <v>2966.896604126699</v>
      </c>
      <c r="E4" s="47" t="n">
        <v>2630.287694794737</v>
      </c>
      <c r="F4" s="47" t="n">
        <v>24247.15748814293</v>
      </c>
      <c r="G4" s="47" t="n">
        <v>9554.861609621154</v>
      </c>
      <c r="H4" s="47" t="n">
        <v>6224.560631244282</v>
      </c>
      <c r="I4" s="47" t="n">
        <v>3367.044883955687</v>
      </c>
      <c r="J4" s="47" t="n">
        <v>2118.764905719701</v>
      </c>
      <c r="K4" s="47" t="n">
        <v>4578.902905173744</v>
      </c>
    </row>
    <row r="5">
      <c r="B5" s="51" t="inlineStr">
        <is>
          <t>Valor promedio DINÁMICOS - BONOS</t>
        </is>
      </c>
      <c r="C5" s="47" t="n">
        <v>51.74445131510579</v>
      </c>
      <c r="D5" s="47" t="n">
        <v>52.71594769808168</v>
      </c>
      <c r="E5" s="47" t="n">
        <v>87.78748359661759</v>
      </c>
      <c r="F5" s="47" t="n">
        <v>57.9929282848811</v>
      </c>
      <c r="G5" s="47" t="n">
        <v>57.44905777184101</v>
      </c>
      <c r="H5" s="47" t="n">
        <v>54.10345546787641</v>
      </c>
      <c r="I5" s="47" t="n">
        <v>57.74081962092612</v>
      </c>
      <c r="J5" s="47" t="n">
        <v>58.4181539079455</v>
      </c>
      <c r="K5" s="47" t="n">
        <v>55.35347193204896</v>
      </c>
    </row>
    <row r="6">
      <c r="A6" s="51" t="n"/>
      <c r="B6" s="51" t="n"/>
      <c r="C6" s="51" t="inlineStr">
        <is>
          <t>$ X TRX ENE</t>
        </is>
      </c>
      <c r="D6" s="51" t="inlineStr">
        <is>
          <t xml:space="preserve">$ X TRX FEB </t>
        </is>
      </c>
      <c r="E6" s="51" t="inlineStr">
        <is>
          <t>$ X TRX MAR</t>
        </is>
      </c>
      <c r="F6" s="51" t="inlineStr">
        <is>
          <t>$ X TRX ABR</t>
        </is>
      </c>
      <c r="G6" s="51" t="inlineStr">
        <is>
          <t>$ X TRX MAY</t>
        </is>
      </c>
      <c r="H6" s="51" t="inlineStr">
        <is>
          <t>$ X TRX JUN</t>
        </is>
      </c>
      <c r="I6" s="51" t="inlineStr">
        <is>
          <t>$ X TRX JUL</t>
        </is>
      </c>
      <c r="J6" s="51" t="inlineStr">
        <is>
          <t>$ X TRX AGO</t>
        </is>
      </c>
      <c r="K6" s="50" t="inlineStr">
        <is>
          <t xml:space="preserve">$ X TRX ANUAL </t>
        </is>
      </c>
    </row>
    <row r="7">
      <c r="A7" s="51" t="inlineStr">
        <is>
          <t>ANDROMACO</t>
        </is>
      </c>
      <c r="B7" s="51" t="inlineStr">
        <is>
          <t>Bono hasta 25.000 trx $74.81 Después $63.91 - Dínamicas hasta 50.000 trx $47.09 Después $40.49</t>
        </is>
      </c>
      <c r="C7" s="52" t="n">
        <v>38.0331851672876</v>
      </c>
      <c r="D7" s="52" t="n">
        <v>40.88616806049865</v>
      </c>
      <c r="E7" s="52" t="n">
        <v>41.64577842251009</v>
      </c>
      <c r="F7" s="52" t="n">
        <v>44.72509573609884</v>
      </c>
      <c r="G7" s="52" t="n">
        <v>44.31937706930462</v>
      </c>
      <c r="H7" s="52" t="n">
        <v>43.69350675821075</v>
      </c>
      <c r="I7" s="52" t="n">
        <v>45.55574685241749</v>
      </c>
      <c r="J7" s="52" t="n">
        <v>45.88289743134469</v>
      </c>
      <c r="K7" s="53" t="n">
        <v>42.75529555675164</v>
      </c>
    </row>
    <row r="8">
      <c r="A8" s="51" t="inlineStr">
        <is>
          <t>Total ANDROMACO</t>
        </is>
      </c>
      <c r="B8" s="51" t="n"/>
      <c r="C8" s="52" t="n">
        <v>38.0331851672876</v>
      </c>
      <c r="D8" s="52" t="n">
        <v>40.88616806049865</v>
      </c>
      <c r="E8" s="52" t="n">
        <v>41.64577842251009</v>
      </c>
      <c r="F8" s="52" t="n">
        <v>44.72509573609884</v>
      </c>
      <c r="G8" s="52" t="n">
        <v>44.31937706930462</v>
      </c>
      <c r="H8" s="52" t="n">
        <v>43.69350675821075</v>
      </c>
      <c r="I8" s="52" t="n">
        <v>45.55574685241749</v>
      </c>
      <c r="J8" s="52" t="n">
        <v>45.88289743134469</v>
      </c>
      <c r="K8" s="53" t="n">
        <v>42.75529555675164</v>
      </c>
    </row>
    <row r="9">
      <c r="A9" s="51" t="inlineStr">
        <is>
          <t>ASPEN</t>
        </is>
      </c>
      <c r="B9" s="51" t="inlineStr">
        <is>
          <t>ABONO MENSUAL - LIMITE DE TRX 2000</t>
        </is>
      </c>
      <c r="C9" s="52" t="n">
        <v>1012.716621253406</v>
      </c>
      <c r="D9" s="52" t="n">
        <v>1023.876033057851</v>
      </c>
      <c r="E9" s="52" t="n">
        <v>735.9742574257426</v>
      </c>
      <c r="F9" s="52" t="n">
        <v>535.2387862796834</v>
      </c>
      <c r="G9" s="52" t="n">
        <v>427.0642105263158</v>
      </c>
      <c r="H9" s="52" t="n">
        <v>226.0228412256267</v>
      </c>
      <c r="I9" s="52" t="n">
        <v>184.7945383615084</v>
      </c>
      <c r="J9" s="52" t="n">
        <v>182.9703862660944</v>
      </c>
      <c r="K9" s="53" t="n">
        <v>339.70944</v>
      </c>
    </row>
    <row r="10">
      <c r="A10" s="51" t="inlineStr">
        <is>
          <t>Total ASPEN</t>
        </is>
      </c>
      <c r="B10" s="51" t="n"/>
      <c r="C10" s="52" t="n">
        <v>1012.716621253406</v>
      </c>
      <c r="D10" s="52" t="n">
        <v>1023.876033057851</v>
      </c>
      <c r="E10" s="52" t="n">
        <v>735.9742574257426</v>
      </c>
      <c r="F10" s="52" t="n">
        <v>535.2387862796834</v>
      </c>
      <c r="G10" s="52" t="n">
        <v>427.0642105263158</v>
      </c>
      <c r="H10" s="52" t="n">
        <v>226.0228412256267</v>
      </c>
      <c r="I10" s="52" t="n">
        <v>184.7945383615084</v>
      </c>
      <c r="J10" s="52" t="n">
        <v>182.9703862660944</v>
      </c>
      <c r="K10" s="53" t="n">
        <v>339.70944</v>
      </c>
    </row>
    <row r="11">
      <c r="A11" s="51" t="inlineStr">
        <is>
          <t>BAGO</t>
        </is>
      </c>
      <c r="B11" s="51" t="inlineStr">
        <is>
          <t>ABONO MENSUAL - LIMITE DE TRX 2000</t>
        </is>
      </c>
      <c r="C11" s="52" t="n">
        <v>371667</v>
      </c>
      <c r="D11" s="52" t="n">
        <v>10619.05714285714</v>
      </c>
      <c r="E11" s="52" t="n">
        <v>9065.048780487805</v>
      </c>
      <c r="F11" s="52" t="n">
        <v>6241.707692307692</v>
      </c>
      <c r="G11" s="52" t="n">
        <v>2722.892617449665</v>
      </c>
      <c r="H11" s="52" t="n">
        <v>977.6168674698795</v>
      </c>
      <c r="I11" s="52" t="n">
        <v>508.736276849642</v>
      </c>
      <c r="J11" s="52" t="n">
        <v>449.7056962025317</v>
      </c>
      <c r="K11" s="53" t="n">
        <v>1278</v>
      </c>
    </row>
    <row r="12">
      <c r="A12" s="51" t="n"/>
      <c r="B12" s="51" t="inlineStr">
        <is>
          <t>Bono hasta 25.000 trx $74.81 Después $63.91 - Dínamicas hasta 50.000 trx $47.09 Después $40.49</t>
        </is>
      </c>
      <c r="C12" s="52" t="n">
        <v>41.05</v>
      </c>
      <c r="D12" s="52" t="n">
        <v>41.05</v>
      </c>
      <c r="E12" s="52" t="n">
        <v>10.87577638078132</v>
      </c>
      <c r="F12" s="52" t="n">
        <v>44.81</v>
      </c>
      <c r="G12" s="52" t="n">
        <v>44.81</v>
      </c>
      <c r="H12" s="52" t="n">
        <v>44.81</v>
      </c>
      <c r="I12" s="52" t="n">
        <v>47.08634810636583</v>
      </c>
      <c r="J12" s="52" t="n">
        <v>47.08634810898739</v>
      </c>
      <c r="K12" s="53" t="n">
        <v>42.30648291281443</v>
      </c>
    </row>
    <row r="13">
      <c r="A13" s="51" t="inlineStr">
        <is>
          <t>Total BAGO</t>
        </is>
      </c>
      <c r="B13" s="51" t="n"/>
      <c r="C13" s="52" t="n">
        <v>371708.05</v>
      </c>
      <c r="D13" s="52" t="n">
        <v>10660.10714285714</v>
      </c>
      <c r="E13" s="52" t="n">
        <v>9075.924556868586</v>
      </c>
      <c r="F13" s="52" t="n">
        <v>6286.517692307692</v>
      </c>
      <c r="G13" s="52" t="n">
        <v>2767.702617449665</v>
      </c>
      <c r="H13" s="52" t="n">
        <v>1022.426867469879</v>
      </c>
      <c r="I13" s="52" t="n">
        <v>555.8226249560079</v>
      </c>
      <c r="J13" s="52" t="n">
        <v>496.7920443115191</v>
      </c>
      <c r="K13" s="53" t="n">
        <v>1320.306482912814</v>
      </c>
    </row>
    <row r="14">
      <c r="A14" s="51" t="inlineStr">
        <is>
          <t>BERNABO</t>
        </is>
      </c>
      <c r="B14" s="51" t="inlineStr">
        <is>
          <t>Bono hasta 25.000 trx $74.81 Después $63.91 - Dínamicas hasta 50.000 trx $47.09 Después $40.49</t>
        </is>
      </c>
      <c r="C14" s="52" t="n">
        <v>46.26441708967852</v>
      </c>
      <c r="D14" s="52" t="n">
        <v>45.55181537273078</v>
      </c>
      <c r="E14" s="52" t="n">
        <v>107.3802110279101</v>
      </c>
      <c r="F14" s="52" t="n">
        <v>53.16927354260091</v>
      </c>
      <c r="G14" s="52" t="n">
        <v>54.55934614558729</v>
      </c>
      <c r="H14" s="52" t="n">
        <v>54.54912928759894</v>
      </c>
      <c r="I14" s="52" t="n">
        <v>60.72242154707176</v>
      </c>
      <c r="J14" s="52" t="n">
        <v>74.8064514106583</v>
      </c>
      <c r="K14" s="53" t="n">
        <v>59.92767952514043</v>
      </c>
    </row>
    <row r="15">
      <c r="A15" s="51" t="inlineStr">
        <is>
          <t>Total BERNABO</t>
        </is>
      </c>
      <c r="B15" s="51" t="n"/>
      <c r="C15" s="52" t="n">
        <v>46.26441708967852</v>
      </c>
      <c r="D15" s="52" t="n">
        <v>45.55181537273078</v>
      </c>
      <c r="E15" s="52" t="n">
        <v>107.3802110279101</v>
      </c>
      <c r="F15" s="52" t="n">
        <v>53.16927354260091</v>
      </c>
      <c r="G15" s="52" t="n">
        <v>54.55934614558729</v>
      </c>
      <c r="H15" s="52" t="n">
        <v>54.54912928759894</v>
      </c>
      <c r="I15" s="52" t="n">
        <v>60.72242154707176</v>
      </c>
      <c r="J15" s="52" t="n">
        <v>74.8064514106583</v>
      </c>
      <c r="K15" s="53" t="n">
        <v>59.92767952514043</v>
      </c>
    </row>
    <row r="16">
      <c r="A16" s="51" t="inlineStr">
        <is>
          <t>BIERDORFF</t>
        </is>
      </c>
      <c r="B16" s="51" t="inlineStr">
        <is>
          <t>Bono hasta 25.000 trx $74.81 Después $63.91 - Dínamicas hasta 50.000 trx $47.09 Después $40.49</t>
        </is>
      </c>
      <c r="C16" s="52" t="n">
        <v>51.6238459197338</v>
      </c>
      <c r="D16" s="52" t="n">
        <v>53.13476763054986</v>
      </c>
      <c r="E16" s="52" t="n">
        <v>53.66104440673172</v>
      </c>
      <c r="F16" s="52" t="n">
        <v>62.6916688172043</v>
      </c>
      <c r="G16" s="52" t="n">
        <v>67.53838750209415</v>
      </c>
      <c r="H16" s="52" t="n">
        <v>63.38564171637483</v>
      </c>
      <c r="I16" s="52" t="n">
        <v>68.14377611762605</v>
      </c>
      <c r="J16" s="52" t="n">
        <v>60.66199339061467</v>
      </c>
      <c r="K16" s="53" t="n">
        <v>59.32924303608354</v>
      </c>
    </row>
    <row r="17">
      <c r="A17" s="51" t="inlineStr">
        <is>
          <t>Total BIERDORFF</t>
        </is>
      </c>
      <c r="B17" s="51" t="n"/>
      <c r="C17" s="52" t="n">
        <v>51.6238459197338</v>
      </c>
      <c r="D17" s="52" t="n">
        <v>53.13476763054986</v>
      </c>
      <c r="E17" s="52" t="n">
        <v>53.66104440673172</v>
      </c>
      <c r="F17" s="52" t="n">
        <v>62.6916688172043</v>
      </c>
      <c r="G17" s="52" t="n">
        <v>67.53838750209415</v>
      </c>
      <c r="H17" s="52" t="n">
        <v>63.38564171637483</v>
      </c>
      <c r="I17" s="52" t="n">
        <v>68.14377611762605</v>
      </c>
      <c r="J17" s="52" t="n">
        <v>60.66199339061467</v>
      </c>
      <c r="K17" s="53" t="n">
        <v>59.32924303608354</v>
      </c>
    </row>
    <row r="18">
      <c r="A18" s="51" t="inlineStr">
        <is>
          <t>BIODERMA</t>
        </is>
      </c>
      <c r="B18" s="51" t="inlineStr">
        <is>
          <t>Bono hasta 25.000 trx $74.81 Después $63.91 - Dínamicas hasta 50.000 trx $47.09 Después $40.49</t>
        </is>
      </c>
      <c r="C18" s="52" t="n">
        <v>0</v>
      </c>
      <c r="D18" s="52" t="n">
        <v>0</v>
      </c>
      <c r="E18" s="52" t="n">
        <v>0</v>
      </c>
      <c r="F18" s="52" t="n">
        <v>0</v>
      </c>
      <c r="G18" s="52" t="n">
        <v>0</v>
      </c>
      <c r="H18" s="52" t="n">
        <v>47.76348600508906</v>
      </c>
      <c r="I18" s="52" t="n">
        <v>55.89752461322082</v>
      </c>
      <c r="J18" s="52" t="n">
        <v>57.82323995127894</v>
      </c>
      <c r="K18" s="53" t="n">
        <v>55.05821818181818</v>
      </c>
    </row>
    <row r="19">
      <c r="A19" s="51" t="inlineStr">
        <is>
          <t>Total BIODERMA</t>
        </is>
      </c>
      <c r="B19" s="51" t="n"/>
      <c r="C19" s="52" t="n">
        <v>0</v>
      </c>
      <c r="D19" s="52" t="n">
        <v>0</v>
      </c>
      <c r="E19" s="52" t="n">
        <v>0</v>
      </c>
      <c r="F19" s="52" t="n">
        <v>0</v>
      </c>
      <c r="G19" s="52" t="n">
        <v>0</v>
      </c>
      <c r="H19" s="52" t="n">
        <v>47.76348600508906</v>
      </c>
      <c r="I19" s="52" t="n">
        <v>55.89752461322082</v>
      </c>
      <c r="J19" s="52" t="n">
        <v>57.82323995127894</v>
      </c>
      <c r="K19" s="53" t="n">
        <v>55.05821818181818</v>
      </c>
    </row>
    <row r="20">
      <c r="A20" s="51" t="inlineStr">
        <is>
          <t>BYDERM</t>
        </is>
      </c>
      <c r="B20" s="51" t="inlineStr">
        <is>
          <t>Bono hasta 25.000 trx $74.81 Después $63.91 - Dínamicas hasta 50.000 trx $47.09 Después $40.49</t>
        </is>
      </c>
      <c r="C20" s="52" t="n">
        <v>0</v>
      </c>
      <c r="D20" s="52" t="n">
        <v>0</v>
      </c>
      <c r="E20" s="52" t="n">
        <v>0</v>
      </c>
      <c r="F20" s="52" t="n">
        <v>44.81</v>
      </c>
      <c r="G20" s="52" t="n">
        <v>44.82814305364512</v>
      </c>
      <c r="H20" s="52" t="n">
        <v>45.63994639944069</v>
      </c>
      <c r="I20" s="52" t="n">
        <v>49.75950920245399</v>
      </c>
      <c r="J20" s="52" t="n">
        <v>50.91304347826087</v>
      </c>
      <c r="K20" s="53" t="n">
        <v>47.96013075037254</v>
      </c>
    </row>
    <row r="21">
      <c r="A21" s="51" t="inlineStr">
        <is>
          <t>Total BYDERM</t>
        </is>
      </c>
      <c r="B21" s="51" t="n"/>
      <c r="C21" s="52" t="n">
        <v>0</v>
      </c>
      <c r="D21" s="52" t="n">
        <v>0</v>
      </c>
      <c r="E21" s="52" t="n">
        <v>0</v>
      </c>
      <c r="F21" s="52" t="n">
        <v>44.81</v>
      </c>
      <c r="G21" s="52" t="n">
        <v>44.82814305364512</v>
      </c>
      <c r="H21" s="52" t="n">
        <v>45.63994639944069</v>
      </c>
      <c r="I21" s="52" t="n">
        <v>49.75950920245399</v>
      </c>
      <c r="J21" s="52" t="n">
        <v>50.91304347826087</v>
      </c>
      <c r="K21" s="53" t="n">
        <v>47.96013075037254</v>
      </c>
    </row>
    <row r="22">
      <c r="A22" s="51" t="inlineStr">
        <is>
          <t>CASASCO</t>
        </is>
      </c>
      <c r="B22" s="51" t="inlineStr">
        <is>
          <t>Bono hasta 25.000 trx $74.81 Después $63.91 - Dínamicas hasta 50.000 trx $47.09 Después $40.49</t>
        </is>
      </c>
      <c r="C22" s="52" t="n">
        <v>65.21276706458524</v>
      </c>
      <c r="D22" s="52" t="n">
        <v>65.20999999999999</v>
      </c>
      <c r="E22" s="52" t="n">
        <v>258.753550212164</v>
      </c>
      <c r="F22" s="52" t="n">
        <v>71.19</v>
      </c>
      <c r="G22" s="52" t="n">
        <v>71.19</v>
      </c>
      <c r="H22" s="52" t="n">
        <v>46.59904867514883</v>
      </c>
      <c r="I22" s="52" t="n">
        <v>49.15017467665728</v>
      </c>
      <c r="J22" s="52" t="n">
        <v>49.08526439119286</v>
      </c>
      <c r="K22" s="53" t="n">
        <v>89.48033626872447</v>
      </c>
    </row>
    <row r="23">
      <c r="A23" s="51" t="inlineStr">
        <is>
          <t>Total CASASCO</t>
        </is>
      </c>
      <c r="B23" s="51" t="n"/>
      <c r="C23" s="52" t="n">
        <v>65.21276706458524</v>
      </c>
      <c r="D23" s="52" t="n">
        <v>65.20999999999999</v>
      </c>
      <c r="E23" s="52" t="n">
        <v>258.753550212164</v>
      </c>
      <c r="F23" s="52" t="n">
        <v>71.19</v>
      </c>
      <c r="G23" s="52" t="n">
        <v>71.19</v>
      </c>
      <c r="H23" s="52" t="n">
        <v>46.59904867514883</v>
      </c>
      <c r="I23" s="52" t="n">
        <v>49.15017467665728</v>
      </c>
      <c r="J23" s="52" t="n">
        <v>49.08526439119286</v>
      </c>
      <c r="K23" s="53" t="n">
        <v>89.48033626872447</v>
      </c>
    </row>
    <row r="24">
      <c r="A24" s="51" t="inlineStr">
        <is>
          <t>CASSARA</t>
        </is>
      </c>
      <c r="B24" s="51" t="inlineStr">
        <is>
          <t>Bono hasta 25.000 trx $74.81 Después $63.91 - Dínamicas hasta 50.000 trx $47.09 Después $40.49</t>
        </is>
      </c>
      <c r="C24" s="52" t="n">
        <v>65.21276755447941</v>
      </c>
      <c r="D24" s="52" t="n">
        <v>65.20999999999999</v>
      </c>
      <c r="E24" s="52" t="n">
        <v>255.0077413793103</v>
      </c>
      <c r="F24" s="52" t="n">
        <v>71.19</v>
      </c>
      <c r="G24" s="52" t="n">
        <v>71.19</v>
      </c>
      <c r="H24" s="52" t="n">
        <v>71.19</v>
      </c>
      <c r="I24" s="52" t="n">
        <v>74.80645182040396</v>
      </c>
      <c r="J24" s="52" t="n">
        <v>74.80645248172374</v>
      </c>
      <c r="K24" s="53" t="n">
        <v>89.89181602386812</v>
      </c>
    </row>
    <row r="25">
      <c r="A25" s="51" t="inlineStr">
        <is>
          <t>Total CASSARA</t>
        </is>
      </c>
      <c r="B25" s="51" t="n"/>
      <c r="C25" s="52" t="n">
        <v>65.21276755447941</v>
      </c>
      <c r="D25" s="52" t="n">
        <v>65.20999999999999</v>
      </c>
      <c r="E25" s="52" t="n">
        <v>255.0077413793103</v>
      </c>
      <c r="F25" s="52" t="n">
        <v>71.19</v>
      </c>
      <c r="G25" s="52" t="n">
        <v>71.19</v>
      </c>
      <c r="H25" s="52" t="n">
        <v>71.19</v>
      </c>
      <c r="I25" s="52" t="n">
        <v>74.80645182040396</v>
      </c>
      <c r="J25" s="52" t="n">
        <v>74.80645248172374</v>
      </c>
      <c r="K25" s="53" t="n">
        <v>89.89181602386812</v>
      </c>
    </row>
    <row r="26">
      <c r="A26" s="51" t="inlineStr">
        <is>
          <t>CVIAHUE</t>
        </is>
      </c>
      <c r="B26" s="51" t="inlineStr">
        <is>
          <t>Bono hasta 25.000 trx $74.81 Después $63.91 - Dínamicas hasta 50.000 trx $47.09 Después $40.49</t>
        </is>
      </c>
      <c r="C26" s="52" t="n">
        <v>0</v>
      </c>
      <c r="D26" s="52" t="n">
        <v>0</v>
      </c>
      <c r="E26" s="52" t="n">
        <v>0</v>
      </c>
      <c r="F26" s="52" t="n">
        <v>13.78893683797568</v>
      </c>
      <c r="G26" s="52" t="n">
        <v>46.21465476378575</v>
      </c>
      <c r="H26" s="52" t="n">
        <v>47.07740814630091</v>
      </c>
      <c r="I26" s="52" t="n">
        <v>53.91727836034318</v>
      </c>
      <c r="J26" s="52" t="n">
        <v>57.08233480176212</v>
      </c>
      <c r="K26" s="53" t="n">
        <v>40.21872497515264</v>
      </c>
    </row>
    <row r="27">
      <c r="A27" s="51" t="inlineStr">
        <is>
          <t>Total CVIAHUE</t>
        </is>
      </c>
      <c r="B27" s="51" t="n"/>
      <c r="C27" s="52" t="n">
        <v>0</v>
      </c>
      <c r="D27" s="52" t="n">
        <v>0</v>
      </c>
      <c r="E27" s="52" t="n">
        <v>0</v>
      </c>
      <c r="F27" s="52" t="n">
        <v>13.78893683797568</v>
      </c>
      <c r="G27" s="52" t="n">
        <v>46.21465476378575</v>
      </c>
      <c r="H27" s="52" t="n">
        <v>47.07740814630091</v>
      </c>
      <c r="I27" s="52" t="n">
        <v>53.91727836034318</v>
      </c>
      <c r="J27" s="52" t="n">
        <v>57.08233480176212</v>
      </c>
      <c r="K27" s="53" t="n">
        <v>40.21872497515264</v>
      </c>
    </row>
    <row r="28">
      <c r="A28" s="51" t="inlineStr">
        <is>
          <t>EUROLAB</t>
        </is>
      </c>
      <c r="B28" s="51" t="inlineStr">
        <is>
          <t>Bono hasta 25.000 trx $74.81 Después $63.91 - Dínamicas hasta 50.000 trx $47.09 Después $40.49</t>
        </is>
      </c>
      <c r="C28" s="52" t="n">
        <v>64.7702323515342</v>
      </c>
      <c r="D28" s="52" t="n">
        <v>64.62504884175272</v>
      </c>
      <c r="E28" s="52" t="n">
        <v>20.68689683462091</v>
      </c>
      <c r="F28" s="52" t="n">
        <v>113.3532875368008</v>
      </c>
      <c r="G28" s="52" t="n">
        <v>70.33472849233391</v>
      </c>
      <c r="H28" s="52" t="n">
        <v>70.39127100316087</v>
      </c>
      <c r="I28" s="52" t="n">
        <v>73.99584124087592</v>
      </c>
      <c r="J28" s="52" t="n">
        <v>74.15005829454562</v>
      </c>
      <c r="K28" s="53" t="n">
        <v>70.17573677555022</v>
      </c>
    </row>
    <row r="29">
      <c r="A29" s="51" t="inlineStr">
        <is>
          <t>Total EUROLAB</t>
        </is>
      </c>
      <c r="B29" s="51" t="n"/>
      <c r="C29" s="52" t="n">
        <v>64.7702323515342</v>
      </c>
      <c r="D29" s="52" t="n">
        <v>64.62504884175272</v>
      </c>
      <c r="E29" s="52" t="n">
        <v>20.68689683462091</v>
      </c>
      <c r="F29" s="52" t="n">
        <v>113.3532875368008</v>
      </c>
      <c r="G29" s="52" t="n">
        <v>70.33472849233391</v>
      </c>
      <c r="H29" s="52" t="n">
        <v>70.39127100316087</v>
      </c>
      <c r="I29" s="52" t="n">
        <v>73.99584124087592</v>
      </c>
      <c r="J29" s="52" t="n">
        <v>74.15005829454562</v>
      </c>
      <c r="K29" s="53" t="n">
        <v>70.17573677555022</v>
      </c>
    </row>
    <row r="30">
      <c r="A30" s="51" t="inlineStr">
        <is>
          <t>FERRING</t>
        </is>
      </c>
      <c r="B30" s="51" t="inlineStr">
        <is>
          <t>ABONO MENSUAL - LIMITE DE TRX 2000</t>
        </is>
      </c>
      <c r="C30" s="52" t="n">
        <v>919.9678217821782</v>
      </c>
      <c r="D30" s="52" t="n">
        <v>913.1867321867322</v>
      </c>
      <c r="E30" s="52" t="n">
        <v>940.9291139240506</v>
      </c>
      <c r="F30" s="52" t="n">
        <v>977.6168674698795</v>
      </c>
      <c r="G30" s="52" t="n">
        <v>972.9280575539568</v>
      </c>
      <c r="H30" s="52" t="n">
        <v>715.5396825396825</v>
      </c>
      <c r="I30" s="52" t="n">
        <v>628.79203539823</v>
      </c>
      <c r="J30" s="52" t="n">
        <v>715.3036912751678</v>
      </c>
      <c r="K30" s="52" t="n">
        <v>821.030162412993</v>
      </c>
    </row>
    <row r="31">
      <c r="A31" s="51" t="inlineStr">
        <is>
          <t>Total FERRING</t>
        </is>
      </c>
      <c r="B31" s="51" t="n"/>
      <c r="C31" s="52" t="n">
        <v>919.9678217821782</v>
      </c>
      <c r="D31" s="52" t="n">
        <v>913.1867321867322</v>
      </c>
      <c r="E31" s="52" t="n">
        <v>940.9291139240506</v>
      </c>
      <c r="F31" s="52" t="n">
        <v>977.6168674698795</v>
      </c>
      <c r="G31" s="52" t="n">
        <v>972.9280575539568</v>
      </c>
      <c r="H31" s="52" t="n">
        <v>715.5396825396825</v>
      </c>
      <c r="I31" s="52" t="n">
        <v>628.79203539823</v>
      </c>
      <c r="J31" s="52" t="n">
        <v>715.3036912751678</v>
      </c>
      <c r="K31" s="52" t="n">
        <v>821.030162412993</v>
      </c>
    </row>
    <row r="32">
      <c r="A32" s="51" t="inlineStr">
        <is>
          <t>GALDERMA</t>
        </is>
      </c>
      <c r="B32" s="51" t="inlineStr">
        <is>
          <t>Bono hasta 25.000 trx $74.81 Después $63.91 - Dínamicas hasta 50.000 trx $47.09 Después $40.49</t>
        </is>
      </c>
      <c r="C32" s="52" t="n">
        <v>53.17949485623846</v>
      </c>
      <c r="D32" s="52" t="n">
        <v>54.25995533577922</v>
      </c>
      <c r="E32" s="52" t="n">
        <v>57.90086276139039</v>
      </c>
      <c r="F32" s="52" t="n">
        <v>62.02510004197565</v>
      </c>
      <c r="G32" s="52" t="n">
        <v>61.40669930241097</v>
      </c>
      <c r="H32" s="52" t="n">
        <v>58.82544526143791</v>
      </c>
      <c r="I32" s="52" t="n">
        <v>60.18821434392828</v>
      </c>
      <c r="J32" s="52" t="n">
        <v>58.90501666790133</v>
      </c>
      <c r="K32" s="52" t="n">
        <v>21.33542099536978</v>
      </c>
    </row>
    <row r="33">
      <c r="A33" s="51" t="inlineStr">
        <is>
          <t>Total GALDERMA</t>
        </is>
      </c>
      <c r="B33" s="51" t="n"/>
      <c r="C33" s="52" t="n">
        <v>53.17949485623846</v>
      </c>
      <c r="D33" s="52" t="n">
        <v>54.25995533577922</v>
      </c>
      <c r="E33" s="52" t="n">
        <v>57.90086276139039</v>
      </c>
      <c r="F33" s="52" t="n">
        <v>62.02510004197565</v>
      </c>
      <c r="G33" s="52" t="n">
        <v>61.40669930241097</v>
      </c>
      <c r="H33" s="52" t="n">
        <v>58.82544526143791</v>
      </c>
      <c r="I33" s="52" t="n">
        <v>60.18821434392828</v>
      </c>
      <c r="J33" s="52" t="n">
        <v>58.90501666790133</v>
      </c>
      <c r="K33" s="52" t="n">
        <v>21.33542099536978</v>
      </c>
    </row>
    <row r="34">
      <c r="A34" s="51" t="inlineStr">
        <is>
          <t>ISDIN</t>
        </is>
      </c>
      <c r="B34" s="51" t="inlineStr">
        <is>
          <t>Bono hasta 25.000 trx $74.81 Después $63.91 - Dínamicas hasta 50.000 trx $47.09 Después $40.49</t>
        </is>
      </c>
      <c r="C34" s="52" t="n">
        <v>45.01795415236079</v>
      </c>
      <c r="D34" s="52" t="n">
        <v>46.17809050999056</v>
      </c>
      <c r="E34" s="52" t="n">
        <v>19.95602142110763</v>
      </c>
      <c r="F34" s="52" t="n">
        <v>59.88080756806646</v>
      </c>
      <c r="G34" s="52" t="n">
        <v>57.34336877718705</v>
      </c>
      <c r="H34" s="52" t="n">
        <v>50.97187169504329</v>
      </c>
      <c r="I34" s="52" t="n">
        <v>50.53968992936786</v>
      </c>
      <c r="J34" s="52" t="n">
        <v>50.29296374724716</v>
      </c>
      <c r="K34" s="52" t="n">
        <v>46.41908285547103</v>
      </c>
    </row>
    <row r="35">
      <c r="A35" s="51" t="inlineStr">
        <is>
          <t>Total ISDIN</t>
        </is>
      </c>
      <c r="B35" s="51" t="n"/>
      <c r="C35" s="52" t="n">
        <v>45.01795415236079</v>
      </c>
      <c r="D35" s="52" t="n">
        <v>46.17809050999056</v>
      </c>
      <c r="E35" s="52" t="n">
        <v>19.95602142110763</v>
      </c>
      <c r="F35" s="52" t="n">
        <v>59.88080756806646</v>
      </c>
      <c r="G35" s="52" t="n">
        <v>57.34336877718705</v>
      </c>
      <c r="H35" s="52" t="n">
        <v>50.97187169504329</v>
      </c>
      <c r="I35" s="52" t="n">
        <v>50.53968992936786</v>
      </c>
      <c r="J35" s="52" t="n">
        <v>50.29296374724716</v>
      </c>
      <c r="K35" s="53" t="n">
        <v>46.41908285547103</v>
      </c>
    </row>
    <row r="36">
      <c r="A36" s="51" t="inlineStr">
        <is>
          <t>LOERAL</t>
        </is>
      </c>
      <c r="B36" s="51" t="inlineStr">
        <is>
          <t>Bono hasta 25.000 trx $74.81 Después $63.91 - Dínamicas hasta 50.000 trx $47.09 Después $40.49</t>
        </is>
      </c>
      <c r="C36" s="52" t="n">
        <v>47.07984899515982</v>
      </c>
      <c r="D36" s="52" t="n">
        <v>51.05363122951508</v>
      </c>
      <c r="E36" s="52" t="n">
        <v>52.00695311964934</v>
      </c>
      <c r="F36" s="52" t="n">
        <v>54.28096933785067</v>
      </c>
      <c r="G36" s="52" t="n">
        <v>55.65398815574314</v>
      </c>
      <c r="H36" s="52" t="n">
        <v>58.44816613458726</v>
      </c>
      <c r="I36" s="52" t="n">
        <v>60.8676782613073</v>
      </c>
      <c r="J36" s="52" t="n">
        <v>57.93993664777395</v>
      </c>
      <c r="K36" s="53" t="n">
        <v>54.73696725951947</v>
      </c>
    </row>
    <row r="37">
      <c r="A37" s="51" t="inlineStr">
        <is>
          <t>Total LOERAL</t>
        </is>
      </c>
      <c r="B37" s="51" t="n"/>
      <c r="C37" s="52" t="n">
        <v>47.07984899515982</v>
      </c>
      <c r="D37" s="52" t="n">
        <v>51.05363122951508</v>
      </c>
      <c r="E37" s="52" t="n">
        <v>52.00695311964934</v>
      </c>
      <c r="F37" s="52" t="n">
        <v>54.28096933785067</v>
      </c>
      <c r="G37" s="52" t="n">
        <v>55.65398815574314</v>
      </c>
      <c r="H37" s="52" t="n">
        <v>58.44816613458726</v>
      </c>
      <c r="I37" s="52" t="n">
        <v>60.8676782613073</v>
      </c>
      <c r="J37" s="52" t="n">
        <v>57.93993664777395</v>
      </c>
      <c r="K37" s="53" t="n">
        <v>54.73696725951947</v>
      </c>
    </row>
    <row r="38">
      <c r="A38" s="51" t="inlineStr">
        <is>
          <t>ROSSMORE</t>
        </is>
      </c>
      <c r="B38" s="51" t="inlineStr">
        <is>
          <t>ABONO MENSUAL - LIMITE DE TRX 2000</t>
        </is>
      </c>
      <c r="C38" s="52" t="n">
        <v>118.1395422759059</v>
      </c>
      <c r="D38" s="52" t="n">
        <v>129.9989506820567</v>
      </c>
      <c r="E38" s="52" t="n">
        <v>115.2455813953488</v>
      </c>
      <c r="F38" s="52" t="n">
        <v>118.802635431918</v>
      </c>
      <c r="G38" s="52" t="n">
        <v>105.8744780793319</v>
      </c>
      <c r="H38" s="52" t="n">
        <v>87.94949057012789</v>
      </c>
      <c r="I38" s="52" t="n">
        <v>81.81174438687393</v>
      </c>
      <c r="J38" s="52" t="n">
        <v>101</v>
      </c>
      <c r="K38" s="53" t="n">
        <v>104.3436209946924</v>
      </c>
    </row>
    <row r="39">
      <c r="A39" s="51" t="inlineStr">
        <is>
          <t>Total ROSSMORE</t>
        </is>
      </c>
      <c r="B39" s="51" t="n"/>
      <c r="C39" s="52" t="n">
        <v>118.1395422759059</v>
      </c>
      <c r="D39" s="52" t="n">
        <v>129.9989506820567</v>
      </c>
      <c r="E39" s="52" t="n">
        <v>115.2455813953488</v>
      </c>
      <c r="F39" s="52" t="n">
        <v>118.802635431918</v>
      </c>
      <c r="G39" s="52" t="n">
        <v>105.8744780793319</v>
      </c>
      <c r="H39" s="52" t="n">
        <v>87.94949057012789</v>
      </c>
      <c r="I39" s="52" t="n">
        <v>81.81174438687393</v>
      </c>
      <c r="J39" s="52" t="n">
        <v>101</v>
      </c>
      <c r="K39" s="53" t="n">
        <v>104.3436209946924</v>
      </c>
    </row>
    <row r="40">
      <c r="A40" s="51" t="inlineStr">
        <is>
          <t>TEVA</t>
        </is>
      </c>
      <c r="B40" s="51" t="inlineStr">
        <is>
          <t>ABONO MENSUAL - LIMITE DE TRX 2000</t>
        </is>
      </c>
      <c r="C40" s="52" t="n">
        <v>2238.957831325301</v>
      </c>
      <c r="D40" s="52" t="n">
        <v>2148.364161849711</v>
      </c>
      <c r="E40" s="52" t="n">
        <v>2294.240740740741</v>
      </c>
      <c r="F40" s="52" t="n">
        <v>2372.578947368421</v>
      </c>
      <c r="G40" s="52" t="n">
        <v>2386.535294117647</v>
      </c>
      <c r="H40" s="52" t="n">
        <v>1530.984905660377</v>
      </c>
      <c r="I40" s="52" t="n">
        <v>1034.759708737864</v>
      </c>
      <c r="J40" s="52" t="n">
        <v>1113.109660574413</v>
      </c>
      <c r="K40" s="53" t="n">
        <v>1674.435331230284</v>
      </c>
    </row>
    <row r="41">
      <c r="A41" s="51" t="inlineStr">
        <is>
          <t>Total TEVA</t>
        </is>
      </c>
      <c r="B41" s="51" t="n"/>
      <c r="C41" s="52" t="n">
        <v>2238.957831325301</v>
      </c>
      <c r="D41" s="52" t="n">
        <v>2148.364161849711</v>
      </c>
      <c r="E41" s="52" t="n">
        <v>2294.240740740741</v>
      </c>
      <c r="F41" s="52" t="n">
        <v>2372.578947368421</v>
      </c>
      <c r="G41" s="52" t="n">
        <v>2386.535294117647</v>
      </c>
      <c r="H41" s="52" t="n">
        <v>1530.984905660377</v>
      </c>
      <c r="I41" s="52" t="n">
        <v>1034.759708737864</v>
      </c>
      <c r="J41" s="52" t="n">
        <v>1113.109660574413</v>
      </c>
      <c r="K41" s="53" t="n">
        <v>1674.435331230284</v>
      </c>
    </row>
    <row r="42">
      <c r="A42" s="51" t="inlineStr">
        <is>
          <t>VARIFARMA</t>
        </is>
      </c>
      <c r="B42" s="51" t="inlineStr">
        <is>
          <t>ABONO MENSUAL - LIMITE DE TRX 2000</t>
        </is>
      </c>
      <c r="C42" s="52" t="n">
        <v>0</v>
      </c>
      <c r="D42" s="52" t="n">
        <v>0</v>
      </c>
      <c r="E42" s="52" t="n">
        <v>0</v>
      </c>
      <c r="F42" s="52" t="n">
        <v>135237</v>
      </c>
      <c r="G42" s="52" t="n">
        <v>50713.875</v>
      </c>
      <c r="H42" s="52" t="n">
        <v>33809.25</v>
      </c>
      <c r="I42" s="52" t="n">
        <v>17763.375</v>
      </c>
      <c r="J42" s="52" t="n">
        <v>10150.5</v>
      </c>
      <c r="K42" s="53" t="n">
        <v>23255.8988764045</v>
      </c>
    </row>
    <row r="43">
      <c r="A43" s="51" t="inlineStr">
        <is>
          <t>Total VARIFARMA</t>
        </is>
      </c>
      <c r="B43" s="51" t="n"/>
      <c r="C43" s="52" t="n">
        <v>0</v>
      </c>
      <c r="D43" s="52" t="n">
        <v>0</v>
      </c>
      <c r="E43" s="52" t="n">
        <v>0</v>
      </c>
      <c r="F43" s="52" t="n">
        <v>135237</v>
      </c>
      <c r="G43" s="52" t="n">
        <v>50713.875</v>
      </c>
      <c r="H43" s="52" t="n">
        <v>33809.25</v>
      </c>
      <c r="I43" s="52" t="n">
        <v>17763.375</v>
      </c>
      <c r="J43" s="52" t="n">
        <v>10150.5</v>
      </c>
      <c r="K43" s="53" t="n">
        <v>23255.8988764045</v>
      </c>
    </row>
    <row r="44">
      <c r="A44" s="51" t="inlineStr">
        <is>
          <t>Suma total</t>
        </is>
      </c>
      <c r="B44" s="51" t="n"/>
      <c r="C44" s="52" t="n">
        <v>376474.2263297879</v>
      </c>
      <c r="D44" s="52" t="n">
        <v>15361.64249761431</v>
      </c>
      <c r="E44" s="52" t="n">
        <v>14029.31330993986</v>
      </c>
      <c r="F44" s="52" t="n">
        <v>146178.8600682761</v>
      </c>
      <c r="G44" s="52" t="n">
        <v>58018.55835098901</v>
      </c>
      <c r="H44" s="52" t="n">
        <v>38050.70870854807</v>
      </c>
      <c r="I44" s="52" t="n">
        <v>20952.89995880615</v>
      </c>
      <c r="J44" s="52" t="n">
        <v>13472.0254351215</v>
      </c>
      <c r="K44" s="53" t="n">
        <v>28193.0125661591</v>
      </c>
    </row>
    <row r="45">
      <c r="K45" s="54" t="n"/>
    </row>
    <row r="46">
      <c r="C46" s="47" t="n"/>
      <c r="D46" s="47" t="n"/>
      <c r="E46" s="47" t="n"/>
      <c r="F46" s="47" t="n"/>
      <c r="G46" s="47" t="n"/>
      <c r="H46" s="47" t="n"/>
      <c r="I46" s="47" t="n"/>
      <c r="J46" s="47" t="n"/>
      <c r="K46" s="55" t="n"/>
    </row>
    <row r="55">
      <c r="F55" s="56" t="inlineStr">
        <is>
          <t>PROM ENE</t>
        </is>
      </c>
      <c r="G55" s="56" t="inlineStr">
        <is>
          <t>PROM FEB</t>
        </is>
      </c>
      <c r="H55" s="56" t="inlineStr">
        <is>
          <t>PROM MAR</t>
        </is>
      </c>
      <c r="I55" s="56" t="inlineStr">
        <is>
          <t>PROM ABR</t>
        </is>
      </c>
      <c r="J55" s="56" t="inlineStr">
        <is>
          <t>PROM MAY</t>
        </is>
      </c>
      <c r="K55" s="56" t="inlineStr">
        <is>
          <t>PROM JUN</t>
        </is>
      </c>
      <c r="L55" s="56" t="inlineStr">
        <is>
          <t>PROM JUL</t>
        </is>
      </c>
      <c r="M55" s="56" t="inlineStr">
        <is>
          <t>PROM AGO</t>
        </is>
      </c>
      <c r="N55" s="56" t="inlineStr">
        <is>
          <t>PROM ANUAL</t>
        </is>
      </c>
    </row>
    <row r="56">
      <c r="E56" s="57" t="inlineStr">
        <is>
          <t xml:space="preserve">Valor promedio tx directa </t>
        </is>
      </c>
      <c r="F56" s="47" t="n">
        <v>2876.887383781831</v>
      </c>
      <c r="G56" s="47" t="n">
        <v>2377.21844021478</v>
      </c>
      <c r="H56" s="47" t="n">
        <v>1219.122248813303</v>
      </c>
      <c r="I56" s="47" t="n">
        <v>885.6609710025397</v>
      </c>
      <c r="J56" s="47" t="n">
        <v>862.8027328879441</v>
      </c>
      <c r="K56" s="47" t="n">
        <v>750.1665989291123</v>
      </c>
      <c r="L56" s="47" t="n">
        <v>616.2821932285317</v>
      </c>
      <c r="M56" s="47" t="n">
        <v>524.254536750511</v>
      </c>
      <c r="N56" s="47" t="n">
        <v>1356.123962208266</v>
      </c>
    </row>
    <row r="57">
      <c r="E57" s="57" t="inlineStr">
        <is>
          <t>Valor promedio tx avanter</t>
        </is>
      </c>
      <c r="F57" s="47" t="n">
        <v>25098.2817553192</v>
      </c>
      <c r="G57" s="47" t="n">
        <v>1024.109499840954</v>
      </c>
      <c r="H57" s="47" t="n">
        <v>935.2875539959908</v>
      </c>
      <c r="I57" s="47" t="n">
        <v>8121.047781570897</v>
      </c>
      <c r="J57" s="47" t="n">
        <v>3223.253241721612</v>
      </c>
      <c r="K57" s="47" t="n">
        <v>2002.668879397267</v>
      </c>
      <c r="L57" s="47" t="n">
        <v>1102.784208358219</v>
      </c>
      <c r="M57" s="47" t="n">
        <v>709.0539702695526</v>
      </c>
      <c r="N57" s="47" t="n">
        <v>1473.254290829379</v>
      </c>
    </row>
    <row r="58">
      <c r="E58" s="57" t="inlineStr">
        <is>
          <t>Valor promedio avanter Eticos - BONO MENSUAL</t>
        </is>
      </c>
      <c r="F58" s="47" t="n">
        <v>75191.35636332736</v>
      </c>
      <c r="G58" s="47" t="n">
        <v>2966.896604126699</v>
      </c>
      <c r="H58" s="47" t="n">
        <v>2630.287694794737</v>
      </c>
      <c r="I58" s="47" t="n">
        <v>24247.15748814293</v>
      </c>
      <c r="J58" s="47" t="n">
        <v>9554.861609621154</v>
      </c>
      <c r="K58" s="47" t="n">
        <v>6224.560631244282</v>
      </c>
      <c r="L58" s="47" t="n">
        <v>3367.044883955687</v>
      </c>
      <c r="M58" s="47" t="n">
        <v>2118.764905719701</v>
      </c>
      <c r="N58" s="47" t="n">
        <v>4578.902905173744</v>
      </c>
    </row>
    <row r="59">
      <c r="E59" s="57" t="inlineStr">
        <is>
          <t>Valor promedio DINÁMICOS - BONOS</t>
        </is>
      </c>
      <c r="F59" s="47" t="n">
        <v>51.74445131510579</v>
      </c>
      <c r="G59" s="47" t="n">
        <v>52.71594769808168</v>
      </c>
      <c r="H59" s="47" t="n">
        <v>87.78748359661759</v>
      </c>
      <c r="I59" s="47" t="n">
        <v>57.9929282848811</v>
      </c>
      <c r="J59" s="47" t="n">
        <v>57.44905777184101</v>
      </c>
      <c r="K59" s="47" t="n">
        <v>54.10345546787641</v>
      </c>
      <c r="L59" s="47" t="n">
        <v>57.74081962092612</v>
      </c>
      <c r="M59" s="47" t="n">
        <v>58.4181539079455</v>
      </c>
      <c r="N59" s="47" t="n">
        <v>55.35347193204896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3:H7"/>
  <sheetViews>
    <sheetView workbookViewId="0">
      <selection activeCell="A1" sqref="A1"/>
    </sheetView>
  </sheetViews>
  <sheetFormatPr baseColWidth="8" defaultColWidth="12.63" defaultRowHeight="15" customHeight="1"/>
  <sheetData>
    <row r="3">
      <c r="C3" s="56" t="n">
        <v>1</v>
      </c>
      <c r="D3" s="56" t="n">
        <v>2</v>
      </c>
      <c r="E3" s="56" t="n">
        <v>3</v>
      </c>
      <c r="F3" s="56" t="n">
        <v>4</v>
      </c>
      <c r="G3" s="56" t="n">
        <v>5</v>
      </c>
      <c r="H3" s="56" t="n">
        <v>6</v>
      </c>
    </row>
    <row r="4">
      <c r="A4" s="56" t="inlineStr">
        <is>
          <t>Descuento</t>
        </is>
      </c>
      <c r="B4" s="56" t="n"/>
      <c r="C4" s="56" t="n">
        <v>60</v>
      </c>
      <c r="D4" s="56" t="n">
        <v>5</v>
      </c>
    </row>
    <row r="5">
      <c r="A5" s="60" t="inlineStr">
        <is>
          <t>Set up</t>
        </is>
      </c>
      <c r="B5" s="61" t="n">
        <v>1000000</v>
      </c>
    </row>
    <row r="6">
      <c r="A6" s="60" t="inlineStr">
        <is>
          <t>Bonos</t>
        </is>
      </c>
      <c r="B6" s="61" t="n">
        <v>150</v>
      </c>
    </row>
    <row r="7">
      <c r="A7" s="60" t="inlineStr">
        <is>
          <t>DInamamica</t>
        </is>
      </c>
      <c r="B7" s="61" t="n">
        <v>135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4"/>
  <sheetViews>
    <sheetView workbookViewId="0">
      <selection activeCell="A1" sqref="A1"/>
    </sheetView>
  </sheetViews>
  <sheetFormatPr baseColWidth="8" defaultColWidth="12.63" defaultRowHeight="15" customHeight="1"/>
  <sheetData>
    <row r="1">
      <c r="A1" s="56" t="inlineStr">
        <is>
          <t xml:space="preserve">Valor promedio tx directa </t>
        </is>
      </c>
    </row>
    <row r="2">
      <c r="A2" s="56" t="inlineStr">
        <is>
          <t>Valor promedio tx avanter</t>
        </is>
      </c>
    </row>
    <row r="3">
      <c r="A3" s="56" t="inlineStr">
        <is>
          <t>Valor promedio avanter bono</t>
        </is>
      </c>
    </row>
    <row r="4">
      <c r="A4" s="56" t="inlineStr">
        <is>
          <t xml:space="preserve">Valor promedio dinamico 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ColWidth="12.63" defaultRowHeight="15" customHeight="1"/>
  <cols>
    <col width="10.63" customWidth="1" style="62" min="1" max="26"/>
  </cols>
  <sheetData>
    <row r="1" ht="14.25" customHeight="1" s="62">
      <c r="A1" s="51" t="inlineStr">
        <is>
          <t>cli_id</t>
        </is>
      </c>
      <c r="B1" s="51" t="inlineStr">
        <is>
          <t>(count)</t>
        </is>
      </c>
    </row>
    <row r="2" ht="14.25" customHeight="1" s="62">
      <c r="A2" s="51" t="n">
        <v>5005</v>
      </c>
      <c r="B2" s="51" t="n">
        <v>16437</v>
      </c>
    </row>
    <row r="3" ht="14.25" customHeight="1" s="62">
      <c r="A3" s="51" t="n">
        <v>5014</v>
      </c>
      <c r="B3" s="51" t="n">
        <v>3216</v>
      </c>
    </row>
    <row r="4" ht="14.25" customHeight="1" s="62">
      <c r="A4" s="51" t="n">
        <v>5010</v>
      </c>
      <c r="B4" s="51" t="n">
        <v>97392</v>
      </c>
    </row>
    <row r="5" ht="14.25" customHeight="1" s="62">
      <c r="A5" s="51" t="n">
        <v>5020</v>
      </c>
      <c r="B5" s="51" t="n">
        <v>45390</v>
      </c>
    </row>
    <row r="6" ht="14.25" customHeight="1" s="62">
      <c r="A6" s="51" t="n">
        <v>5025</v>
      </c>
      <c r="B6" s="51" t="n">
        <v>4648</v>
      </c>
    </row>
    <row r="7" ht="14.25" customHeight="1" s="62">
      <c r="A7" s="51" t="n">
        <v>5041</v>
      </c>
      <c r="B7" s="51" t="n">
        <v>1811</v>
      </c>
    </row>
    <row r="8" ht="14.25" customHeight="1" s="62">
      <c r="A8" s="51" t="n">
        <v>5150</v>
      </c>
      <c r="B8" s="51" t="n">
        <v>1589</v>
      </c>
    </row>
    <row r="9" ht="14.25" customHeight="1" s="62">
      <c r="A9" s="51" t="n">
        <v>5011</v>
      </c>
      <c r="B9" s="51" t="n">
        <v>414</v>
      </c>
    </row>
    <row r="10" ht="14.25" customHeight="1" s="62">
      <c r="A10" s="51" t="n">
        <v>5028</v>
      </c>
      <c r="B10" s="51" t="n">
        <v>224</v>
      </c>
    </row>
    <row r="11" ht="14.25" customHeight="1" s="62">
      <c r="A11" s="51" t="n">
        <v>5110</v>
      </c>
      <c r="B11" s="51" t="n">
        <v>22129</v>
      </c>
    </row>
    <row r="12" ht="14.25" customHeight="1" s="62">
      <c r="A12" s="51" t="n">
        <v>5090</v>
      </c>
      <c r="B12" s="51" t="n">
        <v>13499</v>
      </c>
    </row>
    <row r="13" ht="14.25" customHeight="1" s="62">
      <c r="A13" s="51" t="n">
        <v>5160</v>
      </c>
      <c r="B13" s="51" t="n">
        <v>5911</v>
      </c>
    </row>
    <row r="14" ht="14.25" customHeight="1" s="62">
      <c r="A14" s="51" t="n">
        <v>5170</v>
      </c>
      <c r="B14" s="51" t="n">
        <v>821</v>
      </c>
    </row>
    <row r="15" ht="14.25" customHeight="1" s="62">
      <c r="A15" s="51" t="n">
        <v>5081</v>
      </c>
      <c r="B15" s="51" t="n">
        <v>70021</v>
      </c>
    </row>
    <row r="16" ht="14.25" customHeight="1" s="62">
      <c r="A16" s="51" t="n">
        <v>5022</v>
      </c>
      <c r="B16" s="51" t="n">
        <v>22618</v>
      </c>
    </row>
    <row r="17" ht="14.25" customHeight="1" s="62">
      <c r="A17" s="51" t="n">
        <v>5050</v>
      </c>
      <c r="B17" s="51" t="n">
        <v>236544</v>
      </c>
    </row>
    <row r="18" ht="14.25" customHeight="1" s="62">
      <c r="A18" s="51" t="n">
        <v>5023</v>
      </c>
      <c r="B18" s="51" t="n">
        <v>1562</v>
      </c>
    </row>
    <row r="19" ht="14.25" customHeight="1" s="62">
      <c r="A19" s="51" t="n">
        <v>5120</v>
      </c>
      <c r="B19" s="51" t="n">
        <v>1305</v>
      </c>
    </row>
    <row r="20" ht="14.25" customHeight="1" s="62">
      <c r="A20" s="51" t="n">
        <v>5100</v>
      </c>
      <c r="B20" s="51" t="n">
        <v>3190</v>
      </c>
    </row>
    <row r="21" ht="14.25" customHeight="1" s="62">
      <c r="A21" s="51" t="n">
        <v>5015</v>
      </c>
      <c r="B21" s="51" t="n">
        <v>938</v>
      </c>
    </row>
    <row r="22" ht="14.25" customHeight="1" s="62">
      <c r="A22" s="51" t="n">
        <v>5040</v>
      </c>
      <c r="B22" s="51" t="n">
        <v>7833</v>
      </c>
    </row>
    <row r="23" ht="14.25" customHeight="1" s="62">
      <c r="A23" s="51" t="n">
        <v>5080</v>
      </c>
      <c r="B23" s="51" t="n">
        <v>4261</v>
      </c>
    </row>
    <row r="24" ht="14.25" customHeight="1" s="62">
      <c r="A24" s="51" t="n">
        <v>5004</v>
      </c>
      <c r="B24" s="51" t="n">
        <v>191</v>
      </c>
    </row>
    <row r="25" ht="14.25" customHeight="1" s="62">
      <c r="A25" s="51" t="n">
        <v>5026</v>
      </c>
      <c r="B25" s="51" t="n">
        <v>142</v>
      </c>
    </row>
    <row r="26" ht="14.25" customHeight="1" s="62">
      <c r="A26" s="51" t="n">
        <v>5070</v>
      </c>
      <c r="B26" s="51" t="n">
        <v>37</v>
      </c>
    </row>
    <row r="27" ht="14.25" customHeight="1" s="62">
      <c r="A27" s="51" t="n">
        <v>5140</v>
      </c>
      <c r="B27" s="51" t="n">
        <v>27049</v>
      </c>
    </row>
    <row r="28" ht="14.25" customHeight="1" s="62">
      <c r="A28" s="51" t="n">
        <v>5024</v>
      </c>
      <c r="B28" s="51" t="n">
        <v>257</v>
      </c>
    </row>
    <row r="29" ht="14.25" customHeight="1" s="62">
      <c r="A29" s="51" t="n">
        <v>5130</v>
      </c>
      <c r="B29" s="51" t="n">
        <v>7797</v>
      </c>
    </row>
    <row r="30" ht="14.25" customHeight="1" s="62">
      <c r="A30" s="51" t="n">
        <v>5060</v>
      </c>
      <c r="B30" s="51" t="n">
        <v>23612</v>
      </c>
    </row>
    <row r="31" ht="14.25" customHeight="1" s="62">
      <c r="A31" s="51" t="n">
        <v>5027</v>
      </c>
      <c r="B31" s="51" t="n">
        <v>6</v>
      </c>
    </row>
    <row r="32" ht="14.25" customHeight="1" s="62"/>
    <row r="33" ht="14.25" customHeight="1" s="62"/>
    <row r="34" ht="14.25" customHeight="1" s="62"/>
    <row r="35" ht="14.25" customHeight="1" s="62"/>
    <row r="36" ht="14.25" customHeight="1" s="62"/>
    <row r="37" ht="14.25" customHeight="1" s="62"/>
    <row r="38" ht="14.25" customHeight="1" s="62"/>
    <row r="39" ht="14.25" customHeight="1" s="62"/>
    <row r="40" ht="14.25" customHeight="1" s="62"/>
    <row r="41" ht="14.25" customHeight="1" s="62"/>
    <row r="42" ht="14.25" customHeight="1" s="62"/>
    <row r="43" ht="14.25" customHeight="1" s="62"/>
    <row r="44" ht="14.25" customHeight="1" s="62"/>
    <row r="45" ht="14.25" customHeight="1" s="62"/>
    <row r="46" ht="14.25" customHeight="1" s="62"/>
    <row r="47" ht="14.25" customHeight="1" s="62"/>
    <row r="48" ht="14.25" customHeight="1" s="62"/>
    <row r="49" ht="14.25" customHeight="1" s="62"/>
    <row r="50" ht="14.25" customHeight="1" s="62"/>
    <row r="51" ht="14.25" customHeight="1" s="62"/>
    <row r="52" ht="14.25" customHeight="1" s="62"/>
    <row r="53" ht="14.25" customHeight="1" s="62"/>
    <row r="54" ht="14.25" customHeight="1" s="62"/>
    <row r="55" ht="14.25" customHeight="1" s="62"/>
    <row r="56" ht="14.25" customHeight="1" s="62"/>
    <row r="57" ht="14.25" customHeight="1" s="62"/>
    <row r="58" ht="14.25" customHeight="1" s="62"/>
    <row r="59" ht="14.25" customHeight="1" s="62"/>
    <row r="60" ht="14.25" customHeight="1" s="62"/>
    <row r="61" ht="14.25" customHeight="1" s="62"/>
    <row r="62" ht="14.25" customHeight="1" s="62"/>
    <row r="63" ht="14.25" customHeight="1" s="62"/>
    <row r="64" ht="14.25" customHeight="1" s="62"/>
    <row r="65" ht="14.25" customHeight="1" s="62"/>
    <row r="66" ht="14.25" customHeight="1" s="62"/>
    <row r="67" ht="14.25" customHeight="1" s="62"/>
    <row r="68" ht="14.25" customHeight="1" s="62"/>
    <row r="69" ht="14.25" customHeight="1" s="62"/>
    <row r="70" ht="14.25" customHeight="1" s="62"/>
    <row r="71" ht="14.25" customHeight="1" s="62"/>
    <row r="72" ht="14.25" customHeight="1" s="62"/>
    <row r="73" ht="14.25" customHeight="1" s="62"/>
    <row r="74" ht="14.25" customHeight="1" s="62"/>
    <row r="75" ht="14.25" customHeight="1" s="62"/>
    <row r="76" ht="14.25" customHeight="1" s="62"/>
    <row r="77" ht="14.25" customHeight="1" s="62"/>
    <row r="78" ht="14.25" customHeight="1" s="62"/>
    <row r="79" ht="14.25" customHeight="1" s="62"/>
    <row r="80" ht="14.25" customHeight="1" s="62"/>
    <row r="81" ht="14.25" customHeight="1" s="62"/>
    <row r="82" ht="14.25" customHeight="1" s="62"/>
    <row r="83" ht="14.25" customHeight="1" s="62"/>
    <row r="84" ht="14.25" customHeight="1" s="62"/>
    <row r="85" ht="14.25" customHeight="1" s="62"/>
    <row r="86" ht="14.25" customHeight="1" s="62"/>
    <row r="87" ht="14.25" customHeight="1" s="62"/>
    <row r="88" ht="14.25" customHeight="1" s="62"/>
    <row r="89" ht="14.25" customHeight="1" s="62"/>
    <row r="90" ht="14.25" customHeight="1" s="62"/>
    <row r="91" ht="14.25" customHeight="1" s="62"/>
    <row r="92" ht="14.25" customHeight="1" s="62"/>
    <row r="93" ht="14.25" customHeight="1" s="62"/>
    <row r="94" ht="14.25" customHeight="1" s="62"/>
    <row r="95" ht="14.25" customHeight="1" s="62"/>
    <row r="96" ht="14.25" customHeight="1" s="62"/>
    <row r="97" ht="14.25" customHeight="1" s="62"/>
    <row r="98" ht="14.25" customHeight="1" s="62"/>
    <row r="99" ht="14.25" customHeight="1" s="62"/>
    <row r="100" ht="14.25" customHeight="1" s="62"/>
    <row r="101" ht="14.25" customHeight="1" s="62"/>
    <row r="102" ht="14.25" customHeight="1" s="62"/>
    <row r="103" ht="14.25" customHeight="1" s="62"/>
    <row r="104" ht="14.25" customHeight="1" s="62"/>
    <row r="105" ht="14.25" customHeight="1" s="62"/>
    <row r="106" ht="14.25" customHeight="1" s="62"/>
    <row r="107" ht="14.25" customHeight="1" s="62"/>
    <row r="108" ht="14.25" customHeight="1" s="62"/>
    <row r="109" ht="14.25" customHeight="1" s="62"/>
    <row r="110" ht="14.25" customHeight="1" s="62"/>
    <row r="111" ht="14.25" customHeight="1" s="62"/>
    <row r="112" ht="14.25" customHeight="1" s="62"/>
    <row r="113" ht="14.25" customHeight="1" s="62"/>
    <row r="114" ht="14.25" customHeight="1" s="62"/>
    <row r="115" ht="14.25" customHeight="1" s="62"/>
    <row r="116" ht="14.25" customHeight="1" s="62"/>
    <row r="117" ht="14.25" customHeight="1" s="62"/>
    <row r="118" ht="14.25" customHeight="1" s="62"/>
    <row r="119" ht="14.25" customHeight="1" s="62"/>
    <row r="120" ht="14.25" customHeight="1" s="62"/>
    <row r="121" ht="14.25" customHeight="1" s="62"/>
    <row r="122" ht="14.25" customHeight="1" s="62"/>
    <row r="123" ht="14.25" customHeight="1" s="62"/>
    <row r="124" ht="14.25" customHeight="1" s="62"/>
    <row r="125" ht="14.25" customHeight="1" s="62"/>
    <row r="126" ht="14.25" customHeight="1" s="62"/>
    <row r="127" ht="14.25" customHeight="1" s="62"/>
    <row r="128" ht="14.25" customHeight="1" s="62"/>
    <row r="129" ht="14.25" customHeight="1" s="62"/>
    <row r="130" ht="14.25" customHeight="1" s="62"/>
    <row r="131" ht="14.25" customHeight="1" s="62"/>
    <row r="132" ht="14.25" customHeight="1" s="62"/>
    <row r="133" ht="14.25" customHeight="1" s="62"/>
    <row r="134" ht="14.25" customHeight="1" s="62"/>
    <row r="135" ht="14.25" customHeight="1" s="62"/>
    <row r="136" ht="14.25" customHeight="1" s="62"/>
    <row r="137" ht="14.25" customHeight="1" s="62"/>
    <row r="138" ht="14.25" customHeight="1" s="62"/>
    <row r="139" ht="14.25" customHeight="1" s="62"/>
    <row r="140" ht="14.25" customHeight="1" s="62"/>
    <row r="141" ht="14.25" customHeight="1" s="62"/>
    <row r="142" ht="14.25" customHeight="1" s="62"/>
    <row r="143" ht="14.25" customHeight="1" s="62"/>
    <row r="144" ht="14.25" customHeight="1" s="62"/>
    <row r="145" ht="14.25" customHeight="1" s="62"/>
    <row r="146" ht="14.25" customHeight="1" s="62"/>
    <row r="147" ht="14.25" customHeight="1" s="62"/>
    <row r="148" ht="14.25" customHeight="1" s="62"/>
    <row r="149" ht="14.25" customHeight="1" s="62"/>
    <row r="150" ht="14.25" customHeight="1" s="62"/>
    <row r="151" ht="14.25" customHeight="1" s="62"/>
    <row r="152" ht="14.25" customHeight="1" s="62"/>
    <row r="153" ht="14.25" customHeight="1" s="62"/>
    <row r="154" ht="14.25" customHeight="1" s="62"/>
    <row r="155" ht="14.25" customHeight="1" s="62"/>
    <row r="156" ht="14.25" customHeight="1" s="62"/>
    <row r="157" ht="14.25" customHeight="1" s="62"/>
    <row r="158" ht="14.25" customHeight="1" s="62"/>
    <row r="159" ht="14.25" customHeight="1" s="62"/>
    <row r="160" ht="14.25" customHeight="1" s="62"/>
    <row r="161" ht="14.25" customHeight="1" s="62"/>
    <row r="162" ht="14.25" customHeight="1" s="62"/>
    <row r="163" ht="14.25" customHeight="1" s="62"/>
    <row r="164" ht="14.25" customHeight="1" s="62"/>
    <row r="165" ht="14.25" customHeight="1" s="62"/>
    <row r="166" ht="14.25" customHeight="1" s="62"/>
    <row r="167" ht="14.25" customHeight="1" s="62"/>
    <row r="168" ht="14.25" customHeight="1" s="62"/>
    <row r="169" ht="14.25" customHeight="1" s="62"/>
    <row r="170" ht="14.25" customHeight="1" s="62"/>
    <row r="171" ht="14.25" customHeight="1" s="62"/>
    <row r="172" ht="14.25" customHeight="1" s="62"/>
    <row r="173" ht="14.25" customHeight="1" s="62"/>
    <row r="174" ht="14.25" customHeight="1" s="62"/>
    <row r="175" ht="14.25" customHeight="1" s="62"/>
    <row r="176" ht="14.25" customHeight="1" s="62"/>
    <row r="177" ht="14.25" customHeight="1" s="62"/>
    <row r="178" ht="14.25" customHeight="1" s="62"/>
    <row r="179" ht="14.25" customHeight="1" s="62"/>
    <row r="180" ht="14.25" customHeight="1" s="62"/>
    <row r="181" ht="14.25" customHeight="1" s="62"/>
    <row r="182" ht="14.25" customHeight="1" s="62"/>
    <row r="183" ht="14.25" customHeight="1" s="62"/>
    <row r="184" ht="14.25" customHeight="1" s="62"/>
    <row r="185" ht="14.25" customHeight="1" s="62"/>
    <row r="186" ht="14.25" customHeight="1" s="62"/>
    <row r="187" ht="14.25" customHeight="1" s="62"/>
    <row r="188" ht="14.25" customHeight="1" s="62"/>
    <row r="189" ht="14.25" customHeight="1" s="62"/>
    <row r="190" ht="14.25" customHeight="1" s="62"/>
    <row r="191" ht="14.25" customHeight="1" s="62"/>
    <row r="192" ht="14.25" customHeight="1" s="62"/>
    <row r="193" ht="14.25" customHeight="1" s="62"/>
    <row r="194" ht="14.25" customHeight="1" s="62"/>
    <row r="195" ht="14.25" customHeight="1" s="62"/>
    <row r="196" ht="14.25" customHeight="1" s="62"/>
    <row r="197" ht="14.25" customHeight="1" s="62"/>
    <row r="198" ht="14.25" customHeight="1" s="62"/>
    <row r="199" ht="14.25" customHeight="1" s="62"/>
    <row r="200" ht="14.25" customHeight="1" s="62"/>
    <row r="201" ht="14.25" customHeight="1" s="62"/>
    <row r="202" ht="14.25" customHeight="1" s="62"/>
    <row r="203" ht="14.25" customHeight="1" s="62"/>
    <row r="204" ht="14.25" customHeight="1" s="62"/>
    <row r="205" ht="14.25" customHeight="1" s="62"/>
    <row r="206" ht="14.25" customHeight="1" s="62"/>
    <row r="207" ht="14.25" customHeight="1" s="62"/>
    <row r="208" ht="14.25" customHeight="1" s="62"/>
    <row r="209" ht="14.25" customHeight="1" s="62"/>
    <row r="210" ht="14.25" customHeight="1" s="62"/>
    <row r="211" ht="14.25" customHeight="1" s="62"/>
    <row r="212" ht="14.25" customHeight="1" s="62"/>
    <row r="213" ht="14.25" customHeight="1" s="62"/>
    <row r="214" ht="14.25" customHeight="1" s="62"/>
    <row r="215" ht="14.25" customHeight="1" s="62"/>
    <row r="216" ht="14.25" customHeight="1" s="62"/>
    <row r="217" ht="14.25" customHeight="1" s="62"/>
    <row r="218" ht="14.25" customHeight="1" s="62"/>
    <row r="219" ht="14.25" customHeight="1" s="62"/>
    <row r="220" ht="14.25" customHeight="1" s="62"/>
    <row r="221" ht="14.25" customHeight="1" s="62"/>
    <row r="222" ht="14.25" customHeight="1" s="62"/>
    <row r="223" ht="14.25" customHeight="1" s="62"/>
    <row r="224" ht="14.25" customHeight="1" s="62"/>
    <row r="225" ht="14.25" customHeight="1" s="62"/>
    <row r="226" ht="14.25" customHeight="1" s="62"/>
    <row r="227" ht="14.25" customHeight="1" s="62"/>
    <row r="228" ht="14.25" customHeight="1" s="62"/>
    <row r="229" ht="14.25" customHeight="1" s="62"/>
    <row r="230" ht="14.25" customHeight="1" s="62"/>
    <row r="231" ht="14.25" customHeight="1" s="62"/>
    <row r="232" ht="14.25" customHeight="1" s="62"/>
    <row r="233" ht="14.25" customHeight="1" s="62"/>
    <row r="234" ht="14.25" customHeight="1" s="62"/>
    <row r="235" ht="14.25" customHeight="1" s="62"/>
    <row r="236" ht="14.25" customHeight="1" s="62"/>
    <row r="237" ht="14.25" customHeight="1" s="62"/>
    <row r="238" ht="14.25" customHeight="1" s="62"/>
    <row r="239" ht="14.25" customHeight="1" s="62"/>
    <row r="240" ht="14.25" customHeight="1" s="62"/>
    <row r="241" ht="14.25" customHeight="1" s="62"/>
    <row r="242" ht="14.25" customHeight="1" s="62"/>
    <row r="243" ht="14.25" customHeight="1" s="62"/>
    <row r="244" ht="14.25" customHeight="1" s="62"/>
    <row r="245" ht="14.25" customHeight="1" s="62"/>
    <row r="246" ht="14.25" customHeight="1" s="62"/>
    <row r="247" ht="14.25" customHeight="1" s="62"/>
    <row r="248" ht="14.25" customHeight="1" s="62"/>
    <row r="249" ht="14.25" customHeight="1" s="62"/>
    <row r="250" ht="14.25" customHeight="1" s="62"/>
    <row r="251" ht="14.25" customHeight="1" s="62"/>
    <row r="252" ht="14.25" customHeight="1" s="62"/>
    <row r="253" ht="14.25" customHeight="1" s="62"/>
    <row r="254" ht="14.25" customHeight="1" s="62"/>
    <row r="255" ht="14.25" customHeight="1" s="62"/>
    <row r="256" ht="14.25" customHeight="1" s="62"/>
    <row r="257" ht="14.25" customHeight="1" s="62"/>
    <row r="258" ht="14.25" customHeight="1" s="62"/>
    <row r="259" ht="14.25" customHeight="1" s="62"/>
    <row r="260" ht="14.25" customHeight="1" s="62"/>
    <row r="261" ht="14.25" customHeight="1" s="62"/>
    <row r="262" ht="14.25" customHeight="1" s="62"/>
    <row r="263" ht="14.25" customHeight="1" s="62"/>
    <row r="264" ht="14.25" customHeight="1" s="62"/>
    <row r="265" ht="14.25" customHeight="1" s="62"/>
    <row r="266" ht="14.25" customHeight="1" s="62"/>
    <row r="267" ht="14.25" customHeight="1" s="62"/>
    <row r="268" ht="14.25" customHeight="1" s="62"/>
    <row r="269" ht="14.25" customHeight="1" s="62"/>
    <row r="270" ht="14.25" customHeight="1" s="62"/>
    <row r="271" ht="14.25" customHeight="1" s="62"/>
    <row r="272" ht="14.25" customHeight="1" s="62"/>
    <row r="273" ht="14.25" customHeight="1" s="62"/>
    <row r="274" ht="14.25" customHeight="1" s="62"/>
    <row r="275" ht="14.25" customHeight="1" s="62"/>
    <row r="276" ht="14.25" customHeight="1" s="62"/>
    <row r="277" ht="14.25" customHeight="1" s="62"/>
    <row r="278" ht="14.25" customHeight="1" s="62"/>
    <row r="279" ht="14.25" customHeight="1" s="62"/>
    <row r="280" ht="14.25" customHeight="1" s="62"/>
    <row r="281" ht="14.25" customHeight="1" s="62"/>
    <row r="282" ht="14.25" customHeight="1" s="62"/>
    <row r="283" ht="14.25" customHeight="1" s="62"/>
    <row r="284" ht="14.25" customHeight="1" s="62"/>
    <row r="285" ht="14.25" customHeight="1" s="62"/>
    <row r="286" ht="14.25" customHeight="1" s="62"/>
    <row r="287" ht="14.25" customHeight="1" s="62"/>
    <row r="288" ht="14.25" customHeight="1" s="62"/>
    <row r="289" ht="14.25" customHeight="1" s="62"/>
    <row r="290" ht="14.25" customHeight="1" s="62"/>
    <row r="291" ht="14.25" customHeight="1" s="62"/>
    <row r="292" ht="14.25" customHeight="1" s="62"/>
    <row r="293" ht="14.25" customHeight="1" s="62"/>
    <row r="294" ht="14.25" customHeight="1" s="62"/>
    <row r="295" ht="14.25" customHeight="1" s="62"/>
    <row r="296" ht="14.25" customHeight="1" s="62"/>
    <row r="297" ht="14.25" customHeight="1" s="62"/>
    <row r="298" ht="14.25" customHeight="1" s="62"/>
    <row r="299" ht="14.25" customHeight="1" s="62"/>
    <row r="300" ht="14.25" customHeight="1" s="62"/>
    <row r="301" ht="14.25" customHeight="1" s="62"/>
    <row r="302" ht="14.25" customHeight="1" s="62"/>
    <row r="303" ht="14.25" customHeight="1" s="62"/>
    <row r="304" ht="14.25" customHeight="1" s="62"/>
    <row r="305" ht="14.25" customHeight="1" s="62"/>
    <row r="306" ht="14.25" customHeight="1" s="62"/>
    <row r="307" ht="14.25" customHeight="1" s="62"/>
    <row r="308" ht="14.25" customHeight="1" s="62"/>
    <row r="309" ht="14.25" customHeight="1" s="62"/>
    <row r="310" ht="14.25" customHeight="1" s="62"/>
    <row r="311" ht="14.25" customHeight="1" s="62"/>
    <row r="312" ht="14.25" customHeight="1" s="62"/>
    <row r="313" ht="14.25" customHeight="1" s="62"/>
    <row r="314" ht="14.25" customHeight="1" s="62"/>
    <row r="315" ht="14.25" customHeight="1" s="62"/>
    <row r="316" ht="14.25" customHeight="1" s="62"/>
    <row r="317" ht="14.25" customHeight="1" s="62"/>
    <row r="318" ht="14.25" customHeight="1" s="62"/>
    <row r="319" ht="14.25" customHeight="1" s="62"/>
    <row r="320" ht="14.25" customHeight="1" s="62"/>
    <row r="321" ht="14.25" customHeight="1" s="62"/>
    <row r="322" ht="14.25" customHeight="1" s="62"/>
    <row r="323" ht="14.25" customHeight="1" s="62"/>
    <row r="324" ht="14.25" customHeight="1" s="62"/>
    <row r="325" ht="14.25" customHeight="1" s="62"/>
    <row r="326" ht="14.25" customHeight="1" s="62"/>
    <row r="327" ht="14.25" customHeight="1" s="62"/>
    <row r="328" ht="14.25" customHeight="1" s="62"/>
    <row r="329" ht="14.25" customHeight="1" s="62"/>
    <row r="330" ht="14.25" customHeight="1" s="62"/>
    <row r="331" ht="14.25" customHeight="1" s="62"/>
    <row r="332" ht="14.25" customHeight="1" s="62"/>
    <row r="333" ht="14.25" customHeight="1" s="62"/>
    <row r="334" ht="14.25" customHeight="1" s="62"/>
    <row r="335" ht="14.25" customHeight="1" s="62"/>
    <row r="336" ht="14.25" customHeight="1" s="62"/>
    <row r="337" ht="14.25" customHeight="1" s="62"/>
    <row r="338" ht="14.25" customHeight="1" s="62"/>
    <row r="339" ht="14.25" customHeight="1" s="62"/>
    <row r="340" ht="14.25" customHeight="1" s="62"/>
    <row r="341" ht="14.25" customHeight="1" s="62"/>
    <row r="342" ht="14.25" customHeight="1" s="62"/>
    <row r="343" ht="14.25" customHeight="1" s="62"/>
    <row r="344" ht="14.25" customHeight="1" s="62"/>
    <row r="345" ht="14.25" customHeight="1" s="62"/>
    <row r="346" ht="14.25" customHeight="1" s="62"/>
    <row r="347" ht="14.25" customHeight="1" s="62"/>
    <row r="348" ht="14.25" customHeight="1" s="62"/>
    <row r="349" ht="14.25" customHeight="1" s="62"/>
    <row r="350" ht="14.25" customHeight="1" s="62"/>
    <row r="351" ht="14.25" customHeight="1" s="62"/>
    <row r="352" ht="14.25" customHeight="1" s="62"/>
    <row r="353" ht="14.25" customHeight="1" s="62"/>
    <row r="354" ht="14.25" customHeight="1" s="62"/>
    <row r="355" ht="14.25" customHeight="1" s="62"/>
    <row r="356" ht="14.25" customHeight="1" s="62"/>
    <row r="357" ht="14.25" customHeight="1" s="62"/>
    <row r="358" ht="14.25" customHeight="1" s="62"/>
    <row r="359" ht="14.25" customHeight="1" s="62"/>
    <row r="360" ht="14.25" customHeight="1" s="62"/>
    <row r="361" ht="14.25" customHeight="1" s="62"/>
    <row r="362" ht="14.25" customHeight="1" s="62"/>
    <row r="363" ht="14.25" customHeight="1" s="62"/>
    <row r="364" ht="14.25" customHeight="1" s="62"/>
    <row r="365" ht="14.25" customHeight="1" s="62"/>
    <row r="366" ht="14.25" customHeight="1" s="62"/>
    <row r="367" ht="14.25" customHeight="1" s="62"/>
    <row r="368" ht="14.25" customHeight="1" s="62"/>
    <row r="369" ht="14.25" customHeight="1" s="62"/>
    <row r="370" ht="14.25" customHeight="1" s="62"/>
    <row r="371" ht="14.25" customHeight="1" s="62"/>
    <row r="372" ht="14.25" customHeight="1" s="62"/>
    <row r="373" ht="14.25" customHeight="1" s="62"/>
    <row r="374" ht="14.25" customHeight="1" s="62"/>
    <row r="375" ht="14.25" customHeight="1" s="62"/>
    <row r="376" ht="14.25" customHeight="1" s="62"/>
    <row r="377" ht="14.25" customHeight="1" s="62"/>
    <row r="378" ht="14.25" customHeight="1" s="62"/>
    <row r="379" ht="14.25" customHeight="1" s="62"/>
    <row r="380" ht="14.25" customHeight="1" s="62"/>
    <row r="381" ht="14.25" customHeight="1" s="62"/>
    <row r="382" ht="14.25" customHeight="1" s="62"/>
    <row r="383" ht="14.25" customHeight="1" s="62"/>
    <row r="384" ht="14.25" customHeight="1" s="62"/>
    <row r="385" ht="14.25" customHeight="1" s="62"/>
    <row r="386" ht="14.25" customHeight="1" s="62"/>
    <row r="387" ht="14.25" customHeight="1" s="62"/>
    <row r="388" ht="14.25" customHeight="1" s="62"/>
    <row r="389" ht="14.25" customHeight="1" s="62"/>
    <row r="390" ht="14.25" customHeight="1" s="62"/>
    <row r="391" ht="14.25" customHeight="1" s="62"/>
    <row r="392" ht="14.25" customHeight="1" s="62"/>
    <row r="393" ht="14.25" customHeight="1" s="62"/>
    <row r="394" ht="14.25" customHeight="1" s="62"/>
    <row r="395" ht="14.25" customHeight="1" s="62"/>
    <row r="396" ht="14.25" customHeight="1" s="62"/>
    <row r="397" ht="14.25" customHeight="1" s="62"/>
    <row r="398" ht="14.25" customHeight="1" s="62"/>
    <row r="399" ht="14.25" customHeight="1" s="62"/>
    <row r="400" ht="14.25" customHeight="1" s="62"/>
    <row r="401" ht="14.25" customHeight="1" s="62"/>
    <row r="402" ht="14.25" customHeight="1" s="62"/>
    <row r="403" ht="14.25" customHeight="1" s="62"/>
    <row r="404" ht="14.25" customHeight="1" s="62"/>
    <row r="405" ht="14.25" customHeight="1" s="62"/>
    <row r="406" ht="14.25" customHeight="1" s="62"/>
    <row r="407" ht="14.25" customHeight="1" s="62"/>
    <row r="408" ht="14.25" customHeight="1" s="62"/>
    <row r="409" ht="14.25" customHeight="1" s="62"/>
    <row r="410" ht="14.25" customHeight="1" s="62"/>
    <row r="411" ht="14.25" customHeight="1" s="62"/>
    <row r="412" ht="14.25" customHeight="1" s="62"/>
    <row r="413" ht="14.25" customHeight="1" s="62"/>
    <row r="414" ht="14.25" customHeight="1" s="62"/>
    <row r="415" ht="14.25" customHeight="1" s="62"/>
    <row r="416" ht="14.25" customHeight="1" s="62"/>
    <row r="417" ht="14.25" customHeight="1" s="62"/>
    <row r="418" ht="14.25" customHeight="1" s="62"/>
    <row r="419" ht="14.25" customHeight="1" s="62"/>
    <row r="420" ht="14.25" customHeight="1" s="62"/>
    <row r="421" ht="14.25" customHeight="1" s="62"/>
    <row r="422" ht="14.25" customHeight="1" s="62"/>
    <row r="423" ht="14.25" customHeight="1" s="62"/>
    <row r="424" ht="14.25" customHeight="1" s="62"/>
    <row r="425" ht="14.25" customHeight="1" s="62"/>
    <row r="426" ht="14.25" customHeight="1" s="62"/>
    <row r="427" ht="14.25" customHeight="1" s="62"/>
    <row r="428" ht="14.25" customHeight="1" s="62"/>
    <row r="429" ht="14.25" customHeight="1" s="62"/>
    <row r="430" ht="14.25" customHeight="1" s="62"/>
    <row r="431" ht="14.25" customHeight="1" s="62"/>
    <row r="432" ht="14.25" customHeight="1" s="62"/>
    <row r="433" ht="14.25" customHeight="1" s="62"/>
    <row r="434" ht="14.25" customHeight="1" s="62"/>
    <row r="435" ht="14.25" customHeight="1" s="62"/>
    <row r="436" ht="14.25" customHeight="1" s="62"/>
    <row r="437" ht="14.25" customHeight="1" s="62"/>
    <row r="438" ht="14.25" customHeight="1" s="62"/>
    <row r="439" ht="14.25" customHeight="1" s="62"/>
    <row r="440" ht="14.25" customHeight="1" s="62"/>
    <row r="441" ht="14.25" customHeight="1" s="62"/>
    <row r="442" ht="14.25" customHeight="1" s="62"/>
    <row r="443" ht="14.25" customHeight="1" s="62"/>
    <row r="444" ht="14.25" customHeight="1" s="62"/>
    <row r="445" ht="14.25" customHeight="1" s="62"/>
    <row r="446" ht="14.25" customHeight="1" s="62"/>
    <row r="447" ht="14.25" customHeight="1" s="62"/>
    <row r="448" ht="14.25" customHeight="1" s="62"/>
    <row r="449" ht="14.25" customHeight="1" s="62"/>
    <row r="450" ht="14.25" customHeight="1" s="62"/>
    <row r="451" ht="14.25" customHeight="1" s="62"/>
    <row r="452" ht="14.25" customHeight="1" s="62"/>
    <row r="453" ht="14.25" customHeight="1" s="62"/>
    <row r="454" ht="14.25" customHeight="1" s="62"/>
    <row r="455" ht="14.25" customHeight="1" s="62"/>
    <row r="456" ht="14.25" customHeight="1" s="62"/>
    <row r="457" ht="14.25" customHeight="1" s="62"/>
    <row r="458" ht="14.25" customHeight="1" s="62"/>
    <row r="459" ht="14.25" customHeight="1" s="62"/>
    <row r="460" ht="14.25" customHeight="1" s="62"/>
    <row r="461" ht="14.25" customHeight="1" s="62"/>
    <row r="462" ht="14.25" customHeight="1" s="62"/>
    <row r="463" ht="14.25" customHeight="1" s="62"/>
    <row r="464" ht="14.25" customHeight="1" s="62"/>
    <row r="465" ht="14.25" customHeight="1" s="62"/>
    <row r="466" ht="14.25" customHeight="1" s="62"/>
    <row r="467" ht="14.25" customHeight="1" s="62"/>
    <row r="468" ht="14.25" customHeight="1" s="62"/>
    <row r="469" ht="14.25" customHeight="1" s="62"/>
    <row r="470" ht="14.25" customHeight="1" s="62"/>
    <row r="471" ht="14.25" customHeight="1" s="62"/>
    <row r="472" ht="14.25" customHeight="1" s="62"/>
    <row r="473" ht="14.25" customHeight="1" s="62"/>
    <row r="474" ht="14.25" customHeight="1" s="62"/>
    <row r="475" ht="14.25" customHeight="1" s="62"/>
    <row r="476" ht="14.25" customHeight="1" s="62"/>
    <row r="477" ht="14.25" customHeight="1" s="62"/>
    <row r="478" ht="14.25" customHeight="1" s="62"/>
    <row r="479" ht="14.25" customHeight="1" s="62"/>
    <row r="480" ht="14.25" customHeight="1" s="62"/>
    <row r="481" ht="14.25" customHeight="1" s="62"/>
    <row r="482" ht="14.25" customHeight="1" s="62"/>
    <row r="483" ht="14.25" customHeight="1" s="62"/>
    <row r="484" ht="14.25" customHeight="1" s="62"/>
    <row r="485" ht="14.25" customHeight="1" s="62"/>
    <row r="486" ht="14.25" customHeight="1" s="62"/>
    <row r="487" ht="14.25" customHeight="1" s="62"/>
    <row r="488" ht="14.25" customHeight="1" s="62"/>
    <row r="489" ht="14.25" customHeight="1" s="62"/>
    <row r="490" ht="14.25" customHeight="1" s="62"/>
    <row r="491" ht="14.25" customHeight="1" s="62"/>
    <row r="492" ht="14.25" customHeight="1" s="62"/>
    <row r="493" ht="14.25" customHeight="1" s="62"/>
    <row r="494" ht="14.25" customHeight="1" s="62"/>
    <row r="495" ht="14.25" customHeight="1" s="62"/>
    <row r="496" ht="14.25" customHeight="1" s="62"/>
    <row r="497" ht="14.25" customHeight="1" s="62"/>
    <row r="498" ht="14.25" customHeight="1" s="62"/>
    <row r="499" ht="14.25" customHeight="1" s="62"/>
    <row r="500" ht="14.25" customHeight="1" s="62"/>
    <row r="501" ht="14.25" customHeight="1" s="62"/>
    <row r="502" ht="14.25" customHeight="1" s="62"/>
    <row r="503" ht="14.25" customHeight="1" s="62"/>
    <row r="504" ht="14.25" customHeight="1" s="62"/>
    <row r="505" ht="14.25" customHeight="1" s="62"/>
    <row r="506" ht="14.25" customHeight="1" s="62"/>
    <row r="507" ht="14.25" customHeight="1" s="62"/>
    <row r="508" ht="14.25" customHeight="1" s="62"/>
    <row r="509" ht="14.25" customHeight="1" s="62"/>
    <row r="510" ht="14.25" customHeight="1" s="62"/>
    <row r="511" ht="14.25" customHeight="1" s="62"/>
    <row r="512" ht="14.25" customHeight="1" s="62"/>
    <row r="513" ht="14.25" customHeight="1" s="62"/>
    <row r="514" ht="14.25" customHeight="1" s="62"/>
    <row r="515" ht="14.25" customHeight="1" s="62"/>
    <row r="516" ht="14.25" customHeight="1" s="62"/>
    <row r="517" ht="14.25" customHeight="1" s="62"/>
    <row r="518" ht="14.25" customHeight="1" s="62"/>
    <row r="519" ht="14.25" customHeight="1" s="62"/>
    <row r="520" ht="14.25" customHeight="1" s="62"/>
    <row r="521" ht="14.25" customHeight="1" s="62"/>
    <row r="522" ht="14.25" customHeight="1" s="62"/>
    <row r="523" ht="14.25" customHeight="1" s="62"/>
    <row r="524" ht="14.25" customHeight="1" s="62"/>
    <row r="525" ht="14.25" customHeight="1" s="62"/>
    <row r="526" ht="14.25" customHeight="1" s="62"/>
    <row r="527" ht="14.25" customHeight="1" s="62"/>
    <row r="528" ht="14.25" customHeight="1" s="62"/>
    <row r="529" ht="14.25" customHeight="1" s="62"/>
    <row r="530" ht="14.25" customHeight="1" s="62"/>
    <row r="531" ht="14.25" customHeight="1" s="62"/>
    <row r="532" ht="14.25" customHeight="1" s="62"/>
    <row r="533" ht="14.25" customHeight="1" s="62"/>
    <row r="534" ht="14.25" customHeight="1" s="62"/>
    <row r="535" ht="14.25" customHeight="1" s="62"/>
    <row r="536" ht="14.25" customHeight="1" s="62"/>
    <row r="537" ht="14.25" customHeight="1" s="62"/>
    <row r="538" ht="14.25" customHeight="1" s="62"/>
    <row r="539" ht="14.25" customHeight="1" s="62"/>
    <row r="540" ht="14.25" customHeight="1" s="62"/>
    <row r="541" ht="14.25" customHeight="1" s="62"/>
    <row r="542" ht="14.25" customHeight="1" s="62"/>
    <row r="543" ht="14.25" customHeight="1" s="62"/>
    <row r="544" ht="14.25" customHeight="1" s="62"/>
    <row r="545" ht="14.25" customHeight="1" s="62"/>
    <row r="546" ht="14.25" customHeight="1" s="62"/>
    <row r="547" ht="14.25" customHeight="1" s="62"/>
    <row r="548" ht="14.25" customHeight="1" s="62"/>
    <row r="549" ht="14.25" customHeight="1" s="62"/>
    <row r="550" ht="14.25" customHeight="1" s="62"/>
    <row r="551" ht="14.25" customHeight="1" s="62"/>
    <row r="552" ht="14.25" customHeight="1" s="62"/>
    <row r="553" ht="14.25" customHeight="1" s="62"/>
    <row r="554" ht="14.25" customHeight="1" s="62"/>
    <row r="555" ht="14.25" customHeight="1" s="62"/>
    <row r="556" ht="14.25" customHeight="1" s="62"/>
    <row r="557" ht="14.25" customHeight="1" s="62"/>
    <row r="558" ht="14.25" customHeight="1" s="62"/>
    <row r="559" ht="14.25" customHeight="1" s="62"/>
    <row r="560" ht="14.25" customHeight="1" s="62"/>
    <row r="561" ht="14.25" customHeight="1" s="62"/>
    <row r="562" ht="14.25" customHeight="1" s="62"/>
    <row r="563" ht="14.25" customHeight="1" s="62"/>
    <row r="564" ht="14.25" customHeight="1" s="62"/>
    <row r="565" ht="14.25" customHeight="1" s="62"/>
    <row r="566" ht="14.25" customHeight="1" s="62"/>
    <row r="567" ht="14.25" customHeight="1" s="62"/>
    <row r="568" ht="14.25" customHeight="1" s="62"/>
    <row r="569" ht="14.25" customHeight="1" s="62"/>
    <row r="570" ht="14.25" customHeight="1" s="62"/>
    <row r="571" ht="14.25" customHeight="1" s="62"/>
    <row r="572" ht="14.25" customHeight="1" s="62"/>
    <row r="573" ht="14.25" customHeight="1" s="62"/>
    <row r="574" ht="14.25" customHeight="1" s="62"/>
    <row r="575" ht="14.25" customHeight="1" s="62"/>
    <row r="576" ht="14.25" customHeight="1" s="62"/>
    <row r="577" ht="14.25" customHeight="1" s="62"/>
    <row r="578" ht="14.25" customHeight="1" s="62"/>
    <row r="579" ht="14.25" customHeight="1" s="62"/>
    <row r="580" ht="14.25" customHeight="1" s="62"/>
    <row r="581" ht="14.25" customHeight="1" s="62"/>
    <row r="582" ht="14.25" customHeight="1" s="62"/>
    <row r="583" ht="14.25" customHeight="1" s="62"/>
    <row r="584" ht="14.25" customHeight="1" s="62"/>
    <row r="585" ht="14.25" customHeight="1" s="62"/>
    <row r="586" ht="14.25" customHeight="1" s="62"/>
    <row r="587" ht="14.25" customHeight="1" s="62"/>
    <row r="588" ht="14.25" customHeight="1" s="62"/>
    <row r="589" ht="14.25" customHeight="1" s="62"/>
    <row r="590" ht="14.25" customHeight="1" s="62"/>
    <row r="591" ht="14.25" customHeight="1" s="62"/>
    <row r="592" ht="14.25" customHeight="1" s="62"/>
    <row r="593" ht="14.25" customHeight="1" s="62"/>
    <row r="594" ht="14.25" customHeight="1" s="62"/>
    <row r="595" ht="14.25" customHeight="1" s="62"/>
    <row r="596" ht="14.25" customHeight="1" s="62"/>
    <row r="597" ht="14.25" customHeight="1" s="62"/>
    <row r="598" ht="14.25" customHeight="1" s="62"/>
    <row r="599" ht="14.25" customHeight="1" s="62"/>
    <row r="600" ht="14.25" customHeight="1" s="62"/>
    <row r="601" ht="14.25" customHeight="1" s="62"/>
    <row r="602" ht="14.25" customHeight="1" s="62"/>
    <row r="603" ht="14.25" customHeight="1" s="62"/>
    <row r="604" ht="14.25" customHeight="1" s="62"/>
    <row r="605" ht="14.25" customHeight="1" s="62"/>
    <row r="606" ht="14.25" customHeight="1" s="62"/>
    <row r="607" ht="14.25" customHeight="1" s="62"/>
    <row r="608" ht="14.25" customHeight="1" s="62"/>
    <row r="609" ht="14.25" customHeight="1" s="62"/>
    <row r="610" ht="14.25" customHeight="1" s="62"/>
    <row r="611" ht="14.25" customHeight="1" s="62"/>
    <row r="612" ht="14.25" customHeight="1" s="62"/>
    <row r="613" ht="14.25" customHeight="1" s="62"/>
    <row r="614" ht="14.25" customHeight="1" s="62"/>
    <row r="615" ht="14.25" customHeight="1" s="62"/>
    <row r="616" ht="14.25" customHeight="1" s="62"/>
    <row r="617" ht="14.25" customHeight="1" s="62"/>
    <row r="618" ht="14.25" customHeight="1" s="62"/>
    <row r="619" ht="14.25" customHeight="1" s="62"/>
    <row r="620" ht="14.25" customHeight="1" s="62"/>
    <row r="621" ht="14.25" customHeight="1" s="62"/>
    <row r="622" ht="14.25" customHeight="1" s="62"/>
    <row r="623" ht="14.25" customHeight="1" s="62"/>
    <row r="624" ht="14.25" customHeight="1" s="62"/>
    <row r="625" ht="14.25" customHeight="1" s="62"/>
    <row r="626" ht="14.25" customHeight="1" s="62"/>
    <row r="627" ht="14.25" customHeight="1" s="62"/>
    <row r="628" ht="14.25" customHeight="1" s="62"/>
    <row r="629" ht="14.25" customHeight="1" s="62"/>
    <row r="630" ht="14.25" customHeight="1" s="62"/>
    <row r="631" ht="14.25" customHeight="1" s="62"/>
    <row r="632" ht="14.25" customHeight="1" s="62"/>
    <row r="633" ht="14.25" customHeight="1" s="62"/>
    <row r="634" ht="14.25" customHeight="1" s="62"/>
    <row r="635" ht="14.25" customHeight="1" s="62"/>
    <row r="636" ht="14.25" customHeight="1" s="62"/>
    <row r="637" ht="14.25" customHeight="1" s="62"/>
    <row r="638" ht="14.25" customHeight="1" s="62"/>
    <row r="639" ht="14.25" customHeight="1" s="62"/>
    <row r="640" ht="14.25" customHeight="1" s="62"/>
    <row r="641" ht="14.25" customHeight="1" s="62"/>
    <row r="642" ht="14.25" customHeight="1" s="62"/>
    <row r="643" ht="14.25" customHeight="1" s="62"/>
    <row r="644" ht="14.25" customHeight="1" s="62"/>
    <row r="645" ht="14.25" customHeight="1" s="62"/>
    <row r="646" ht="14.25" customHeight="1" s="62"/>
    <row r="647" ht="14.25" customHeight="1" s="62"/>
    <row r="648" ht="14.25" customHeight="1" s="62"/>
    <row r="649" ht="14.25" customHeight="1" s="62"/>
    <row r="650" ht="14.25" customHeight="1" s="62"/>
    <row r="651" ht="14.25" customHeight="1" s="62"/>
    <row r="652" ht="14.25" customHeight="1" s="62"/>
    <row r="653" ht="14.25" customHeight="1" s="62"/>
    <row r="654" ht="14.25" customHeight="1" s="62"/>
    <row r="655" ht="14.25" customHeight="1" s="62"/>
    <row r="656" ht="14.25" customHeight="1" s="62"/>
    <row r="657" ht="14.25" customHeight="1" s="62"/>
    <row r="658" ht="14.25" customHeight="1" s="62"/>
    <row r="659" ht="14.25" customHeight="1" s="62"/>
    <row r="660" ht="14.25" customHeight="1" s="62"/>
    <row r="661" ht="14.25" customHeight="1" s="62"/>
    <row r="662" ht="14.25" customHeight="1" s="62"/>
    <row r="663" ht="14.25" customHeight="1" s="62"/>
    <row r="664" ht="14.25" customHeight="1" s="62"/>
    <row r="665" ht="14.25" customHeight="1" s="62"/>
    <row r="666" ht="14.25" customHeight="1" s="62"/>
    <row r="667" ht="14.25" customHeight="1" s="62"/>
    <row r="668" ht="14.25" customHeight="1" s="62"/>
    <row r="669" ht="14.25" customHeight="1" s="62"/>
    <row r="670" ht="14.25" customHeight="1" s="62"/>
    <row r="671" ht="14.25" customHeight="1" s="62"/>
    <row r="672" ht="14.25" customHeight="1" s="62"/>
    <row r="673" ht="14.25" customHeight="1" s="62"/>
    <row r="674" ht="14.25" customHeight="1" s="62"/>
    <row r="675" ht="14.25" customHeight="1" s="62"/>
    <row r="676" ht="14.25" customHeight="1" s="62"/>
    <row r="677" ht="14.25" customHeight="1" s="62"/>
    <row r="678" ht="14.25" customHeight="1" s="62"/>
    <row r="679" ht="14.25" customHeight="1" s="62"/>
    <row r="680" ht="14.25" customHeight="1" s="62"/>
    <row r="681" ht="14.25" customHeight="1" s="62"/>
    <row r="682" ht="14.25" customHeight="1" s="62"/>
    <row r="683" ht="14.25" customHeight="1" s="62"/>
    <row r="684" ht="14.25" customHeight="1" s="62"/>
    <row r="685" ht="14.25" customHeight="1" s="62"/>
    <row r="686" ht="14.25" customHeight="1" s="62"/>
    <row r="687" ht="14.25" customHeight="1" s="62"/>
    <row r="688" ht="14.25" customHeight="1" s="62"/>
    <row r="689" ht="14.25" customHeight="1" s="62"/>
    <row r="690" ht="14.25" customHeight="1" s="62"/>
    <row r="691" ht="14.25" customHeight="1" s="62"/>
    <row r="692" ht="14.25" customHeight="1" s="62"/>
    <row r="693" ht="14.25" customHeight="1" s="62"/>
    <row r="694" ht="14.25" customHeight="1" s="62"/>
    <row r="695" ht="14.25" customHeight="1" s="62"/>
    <row r="696" ht="14.25" customHeight="1" s="62"/>
    <row r="697" ht="14.25" customHeight="1" s="62"/>
    <row r="698" ht="14.25" customHeight="1" s="62"/>
    <row r="699" ht="14.25" customHeight="1" s="62"/>
    <row r="700" ht="14.25" customHeight="1" s="62"/>
    <row r="701" ht="14.25" customHeight="1" s="62"/>
    <row r="702" ht="14.25" customHeight="1" s="62"/>
    <row r="703" ht="14.25" customHeight="1" s="62"/>
    <row r="704" ht="14.25" customHeight="1" s="62"/>
    <row r="705" ht="14.25" customHeight="1" s="62"/>
    <row r="706" ht="14.25" customHeight="1" s="62"/>
    <row r="707" ht="14.25" customHeight="1" s="62"/>
    <row r="708" ht="14.25" customHeight="1" s="62"/>
    <row r="709" ht="14.25" customHeight="1" s="62"/>
    <row r="710" ht="14.25" customHeight="1" s="62"/>
    <row r="711" ht="14.25" customHeight="1" s="62"/>
    <row r="712" ht="14.25" customHeight="1" s="62"/>
    <row r="713" ht="14.25" customHeight="1" s="62"/>
    <row r="714" ht="14.25" customHeight="1" s="62"/>
    <row r="715" ht="14.25" customHeight="1" s="62"/>
    <row r="716" ht="14.25" customHeight="1" s="62"/>
    <row r="717" ht="14.25" customHeight="1" s="62"/>
    <row r="718" ht="14.25" customHeight="1" s="62"/>
    <row r="719" ht="14.25" customHeight="1" s="62"/>
    <row r="720" ht="14.25" customHeight="1" s="62"/>
    <row r="721" ht="14.25" customHeight="1" s="62"/>
    <row r="722" ht="14.25" customHeight="1" s="62"/>
    <row r="723" ht="14.25" customHeight="1" s="62"/>
    <row r="724" ht="14.25" customHeight="1" s="62"/>
    <row r="725" ht="14.25" customHeight="1" s="62"/>
    <row r="726" ht="14.25" customHeight="1" s="62"/>
    <row r="727" ht="14.25" customHeight="1" s="62"/>
    <row r="728" ht="14.25" customHeight="1" s="62"/>
    <row r="729" ht="14.25" customHeight="1" s="62"/>
    <row r="730" ht="14.25" customHeight="1" s="62"/>
    <row r="731" ht="14.25" customHeight="1" s="62"/>
    <row r="732" ht="14.25" customHeight="1" s="62"/>
    <row r="733" ht="14.25" customHeight="1" s="62"/>
    <row r="734" ht="14.25" customHeight="1" s="62"/>
    <row r="735" ht="14.25" customHeight="1" s="62"/>
    <row r="736" ht="14.25" customHeight="1" s="62"/>
    <row r="737" ht="14.25" customHeight="1" s="62"/>
    <row r="738" ht="14.25" customHeight="1" s="62"/>
    <row r="739" ht="14.25" customHeight="1" s="62"/>
    <row r="740" ht="14.25" customHeight="1" s="62"/>
    <row r="741" ht="14.25" customHeight="1" s="62"/>
    <row r="742" ht="14.25" customHeight="1" s="62"/>
    <row r="743" ht="14.25" customHeight="1" s="62"/>
    <row r="744" ht="14.25" customHeight="1" s="62"/>
    <row r="745" ht="14.25" customHeight="1" s="62"/>
    <row r="746" ht="14.25" customHeight="1" s="62"/>
    <row r="747" ht="14.25" customHeight="1" s="62"/>
    <row r="748" ht="14.25" customHeight="1" s="62"/>
    <row r="749" ht="14.25" customHeight="1" s="62"/>
    <row r="750" ht="14.25" customHeight="1" s="62"/>
    <row r="751" ht="14.25" customHeight="1" s="62"/>
    <row r="752" ht="14.25" customHeight="1" s="62"/>
    <row r="753" ht="14.25" customHeight="1" s="62"/>
    <row r="754" ht="14.25" customHeight="1" s="62"/>
    <row r="755" ht="14.25" customHeight="1" s="62"/>
    <row r="756" ht="14.25" customHeight="1" s="62"/>
    <row r="757" ht="14.25" customHeight="1" s="62"/>
    <row r="758" ht="14.25" customHeight="1" s="62"/>
    <row r="759" ht="14.25" customHeight="1" s="62"/>
    <row r="760" ht="14.25" customHeight="1" s="62"/>
    <row r="761" ht="14.25" customHeight="1" s="62"/>
    <row r="762" ht="14.25" customHeight="1" s="62"/>
    <row r="763" ht="14.25" customHeight="1" s="62"/>
    <row r="764" ht="14.25" customHeight="1" s="62"/>
    <row r="765" ht="14.25" customHeight="1" s="62"/>
    <row r="766" ht="14.25" customHeight="1" s="62"/>
    <row r="767" ht="14.25" customHeight="1" s="62"/>
    <row r="768" ht="14.25" customHeight="1" s="62"/>
    <row r="769" ht="14.25" customHeight="1" s="62"/>
    <row r="770" ht="14.25" customHeight="1" s="62"/>
    <row r="771" ht="14.25" customHeight="1" s="62"/>
    <row r="772" ht="14.25" customHeight="1" s="62"/>
    <row r="773" ht="14.25" customHeight="1" s="62"/>
    <row r="774" ht="14.25" customHeight="1" s="62"/>
    <row r="775" ht="14.25" customHeight="1" s="62"/>
    <row r="776" ht="14.25" customHeight="1" s="62"/>
    <row r="777" ht="14.25" customHeight="1" s="62"/>
    <row r="778" ht="14.25" customHeight="1" s="62"/>
    <row r="779" ht="14.25" customHeight="1" s="62"/>
    <row r="780" ht="14.25" customHeight="1" s="62"/>
    <row r="781" ht="14.25" customHeight="1" s="62"/>
    <row r="782" ht="14.25" customHeight="1" s="62"/>
    <row r="783" ht="14.25" customHeight="1" s="62"/>
    <row r="784" ht="14.25" customHeight="1" s="62"/>
    <row r="785" ht="14.25" customHeight="1" s="62"/>
    <row r="786" ht="14.25" customHeight="1" s="62"/>
    <row r="787" ht="14.25" customHeight="1" s="62"/>
    <row r="788" ht="14.25" customHeight="1" s="62"/>
    <row r="789" ht="14.25" customHeight="1" s="62"/>
    <row r="790" ht="14.25" customHeight="1" s="62"/>
    <row r="791" ht="14.25" customHeight="1" s="62"/>
    <row r="792" ht="14.25" customHeight="1" s="62"/>
    <row r="793" ht="14.25" customHeight="1" s="62"/>
    <row r="794" ht="14.25" customHeight="1" s="62"/>
    <row r="795" ht="14.25" customHeight="1" s="62"/>
    <row r="796" ht="14.25" customHeight="1" s="62"/>
    <row r="797" ht="14.25" customHeight="1" s="62"/>
    <row r="798" ht="14.25" customHeight="1" s="62"/>
    <row r="799" ht="14.25" customHeight="1" s="62"/>
    <row r="800" ht="14.25" customHeight="1" s="62"/>
    <row r="801" ht="14.25" customHeight="1" s="62"/>
    <row r="802" ht="14.25" customHeight="1" s="62"/>
    <row r="803" ht="14.25" customHeight="1" s="62"/>
    <row r="804" ht="14.25" customHeight="1" s="62"/>
    <row r="805" ht="14.25" customHeight="1" s="62"/>
    <row r="806" ht="14.25" customHeight="1" s="62"/>
    <row r="807" ht="14.25" customHeight="1" s="62"/>
    <row r="808" ht="14.25" customHeight="1" s="62"/>
    <row r="809" ht="14.25" customHeight="1" s="62"/>
    <row r="810" ht="14.25" customHeight="1" s="62"/>
    <row r="811" ht="14.25" customHeight="1" s="62"/>
    <row r="812" ht="14.25" customHeight="1" s="62"/>
    <row r="813" ht="14.25" customHeight="1" s="62"/>
    <row r="814" ht="14.25" customHeight="1" s="62"/>
    <row r="815" ht="14.25" customHeight="1" s="62"/>
    <row r="816" ht="14.25" customHeight="1" s="62"/>
    <row r="817" ht="14.25" customHeight="1" s="62"/>
    <row r="818" ht="14.25" customHeight="1" s="62"/>
    <row r="819" ht="14.25" customHeight="1" s="62"/>
    <row r="820" ht="14.25" customHeight="1" s="62"/>
    <row r="821" ht="14.25" customHeight="1" s="62"/>
    <row r="822" ht="14.25" customHeight="1" s="62"/>
    <row r="823" ht="14.25" customHeight="1" s="62"/>
    <row r="824" ht="14.25" customHeight="1" s="62"/>
    <row r="825" ht="14.25" customHeight="1" s="62"/>
    <row r="826" ht="14.25" customHeight="1" s="62"/>
    <row r="827" ht="14.25" customHeight="1" s="62"/>
    <row r="828" ht="14.25" customHeight="1" s="62"/>
    <row r="829" ht="14.25" customHeight="1" s="62"/>
    <row r="830" ht="14.25" customHeight="1" s="62"/>
    <row r="831" ht="14.25" customHeight="1" s="62"/>
    <row r="832" ht="14.25" customHeight="1" s="62"/>
    <row r="833" ht="14.25" customHeight="1" s="62"/>
    <row r="834" ht="14.25" customHeight="1" s="62"/>
    <row r="835" ht="14.25" customHeight="1" s="62"/>
    <row r="836" ht="14.25" customHeight="1" s="62"/>
    <row r="837" ht="14.25" customHeight="1" s="62"/>
    <row r="838" ht="14.25" customHeight="1" s="62"/>
    <row r="839" ht="14.25" customHeight="1" s="62"/>
    <row r="840" ht="14.25" customHeight="1" s="62"/>
    <row r="841" ht="14.25" customHeight="1" s="62"/>
    <row r="842" ht="14.25" customHeight="1" s="62"/>
    <row r="843" ht="14.25" customHeight="1" s="62"/>
    <row r="844" ht="14.25" customHeight="1" s="62"/>
    <row r="845" ht="14.25" customHeight="1" s="62"/>
    <row r="846" ht="14.25" customHeight="1" s="62"/>
    <row r="847" ht="14.25" customHeight="1" s="62"/>
    <row r="848" ht="14.25" customHeight="1" s="62"/>
    <row r="849" ht="14.25" customHeight="1" s="62"/>
    <row r="850" ht="14.25" customHeight="1" s="62"/>
    <row r="851" ht="14.25" customHeight="1" s="62"/>
    <row r="852" ht="14.25" customHeight="1" s="62"/>
    <row r="853" ht="14.25" customHeight="1" s="62"/>
    <row r="854" ht="14.25" customHeight="1" s="62"/>
    <row r="855" ht="14.25" customHeight="1" s="62"/>
    <row r="856" ht="14.25" customHeight="1" s="62"/>
    <row r="857" ht="14.25" customHeight="1" s="62"/>
    <row r="858" ht="14.25" customHeight="1" s="62"/>
    <row r="859" ht="14.25" customHeight="1" s="62"/>
    <row r="860" ht="14.25" customHeight="1" s="62"/>
    <row r="861" ht="14.25" customHeight="1" s="62"/>
    <row r="862" ht="14.25" customHeight="1" s="62"/>
    <row r="863" ht="14.25" customHeight="1" s="62"/>
    <row r="864" ht="14.25" customHeight="1" s="62"/>
    <row r="865" ht="14.25" customHeight="1" s="62"/>
    <row r="866" ht="14.25" customHeight="1" s="62"/>
    <row r="867" ht="14.25" customHeight="1" s="62"/>
    <row r="868" ht="14.25" customHeight="1" s="62"/>
    <row r="869" ht="14.25" customHeight="1" s="62"/>
    <row r="870" ht="14.25" customHeight="1" s="62"/>
    <row r="871" ht="14.25" customHeight="1" s="62"/>
    <row r="872" ht="14.25" customHeight="1" s="62"/>
    <row r="873" ht="14.25" customHeight="1" s="62"/>
    <row r="874" ht="14.25" customHeight="1" s="62"/>
    <row r="875" ht="14.25" customHeight="1" s="62"/>
    <row r="876" ht="14.25" customHeight="1" s="62"/>
    <row r="877" ht="14.25" customHeight="1" s="62"/>
    <row r="878" ht="14.25" customHeight="1" s="62"/>
    <row r="879" ht="14.25" customHeight="1" s="62"/>
    <row r="880" ht="14.25" customHeight="1" s="62"/>
    <row r="881" ht="14.25" customHeight="1" s="62"/>
    <row r="882" ht="14.25" customHeight="1" s="62"/>
    <row r="883" ht="14.25" customHeight="1" s="62"/>
    <row r="884" ht="14.25" customHeight="1" s="62"/>
    <row r="885" ht="14.25" customHeight="1" s="62"/>
    <row r="886" ht="14.25" customHeight="1" s="62"/>
    <row r="887" ht="14.25" customHeight="1" s="62"/>
    <row r="888" ht="14.25" customHeight="1" s="62"/>
    <row r="889" ht="14.25" customHeight="1" s="62"/>
    <row r="890" ht="14.25" customHeight="1" s="62"/>
    <row r="891" ht="14.25" customHeight="1" s="62"/>
    <row r="892" ht="14.25" customHeight="1" s="62"/>
    <row r="893" ht="14.25" customHeight="1" s="62"/>
    <row r="894" ht="14.25" customHeight="1" s="62"/>
    <row r="895" ht="14.25" customHeight="1" s="62"/>
    <row r="896" ht="14.25" customHeight="1" s="62"/>
    <row r="897" ht="14.25" customHeight="1" s="62"/>
    <row r="898" ht="14.25" customHeight="1" s="62"/>
    <row r="899" ht="14.25" customHeight="1" s="62"/>
    <row r="900" ht="14.25" customHeight="1" s="62"/>
    <row r="901" ht="14.25" customHeight="1" s="62"/>
    <row r="902" ht="14.25" customHeight="1" s="62"/>
    <row r="903" ht="14.25" customHeight="1" s="62"/>
    <row r="904" ht="14.25" customHeight="1" s="62"/>
    <row r="905" ht="14.25" customHeight="1" s="62"/>
    <row r="906" ht="14.25" customHeight="1" s="62"/>
    <row r="907" ht="14.25" customHeight="1" s="62"/>
    <row r="908" ht="14.25" customHeight="1" s="62"/>
    <row r="909" ht="14.25" customHeight="1" s="62"/>
    <row r="910" ht="14.25" customHeight="1" s="62"/>
    <row r="911" ht="14.25" customHeight="1" s="62"/>
    <row r="912" ht="14.25" customHeight="1" s="62"/>
    <row r="913" ht="14.25" customHeight="1" s="62"/>
    <row r="914" ht="14.25" customHeight="1" s="62"/>
    <row r="915" ht="14.25" customHeight="1" s="62"/>
    <row r="916" ht="14.25" customHeight="1" s="62"/>
    <row r="917" ht="14.25" customHeight="1" s="62"/>
    <row r="918" ht="14.25" customHeight="1" s="62"/>
    <row r="919" ht="14.25" customHeight="1" s="62"/>
    <row r="920" ht="14.25" customHeight="1" s="62"/>
    <row r="921" ht="14.25" customHeight="1" s="62"/>
    <row r="922" ht="14.25" customHeight="1" s="62"/>
    <row r="923" ht="14.25" customHeight="1" s="62"/>
    <row r="924" ht="14.25" customHeight="1" s="62"/>
    <row r="925" ht="14.25" customHeight="1" s="62"/>
    <row r="926" ht="14.25" customHeight="1" s="62"/>
    <row r="927" ht="14.25" customHeight="1" s="62"/>
    <row r="928" ht="14.25" customHeight="1" s="62"/>
    <row r="929" ht="14.25" customHeight="1" s="62"/>
    <row r="930" ht="14.25" customHeight="1" s="62"/>
    <row r="931" ht="14.25" customHeight="1" s="62"/>
    <row r="932" ht="14.25" customHeight="1" s="62"/>
    <row r="933" ht="14.25" customHeight="1" s="62"/>
    <row r="934" ht="14.25" customHeight="1" s="62"/>
    <row r="935" ht="14.25" customHeight="1" s="62"/>
    <row r="936" ht="14.25" customHeight="1" s="62"/>
    <row r="937" ht="14.25" customHeight="1" s="62"/>
    <row r="938" ht="14.25" customHeight="1" s="62"/>
    <row r="939" ht="14.25" customHeight="1" s="62"/>
    <row r="940" ht="14.25" customHeight="1" s="62"/>
    <row r="941" ht="14.25" customHeight="1" s="62"/>
    <row r="942" ht="14.25" customHeight="1" s="62"/>
    <row r="943" ht="14.25" customHeight="1" s="62"/>
    <row r="944" ht="14.25" customHeight="1" s="62"/>
    <row r="945" ht="14.25" customHeight="1" s="62"/>
    <row r="946" ht="14.25" customHeight="1" s="62"/>
    <row r="947" ht="14.25" customHeight="1" s="62"/>
    <row r="948" ht="14.25" customHeight="1" s="62"/>
    <row r="949" ht="14.25" customHeight="1" s="62"/>
    <row r="950" ht="14.25" customHeight="1" s="62"/>
    <row r="951" ht="14.25" customHeight="1" s="62"/>
    <row r="952" ht="14.25" customHeight="1" s="62"/>
    <row r="953" ht="14.25" customHeight="1" s="62"/>
    <row r="954" ht="14.25" customHeight="1" s="62"/>
    <row r="955" ht="14.25" customHeight="1" s="62"/>
    <row r="956" ht="14.25" customHeight="1" s="62"/>
    <row r="957" ht="14.25" customHeight="1" s="62"/>
    <row r="958" ht="14.25" customHeight="1" s="62"/>
    <row r="959" ht="14.25" customHeight="1" s="62"/>
    <row r="960" ht="14.25" customHeight="1" s="62"/>
    <row r="961" ht="14.25" customHeight="1" s="62"/>
    <row r="962" ht="14.25" customHeight="1" s="62"/>
    <row r="963" ht="14.25" customHeight="1" s="62"/>
    <row r="964" ht="14.25" customHeight="1" s="62"/>
    <row r="965" ht="14.25" customHeight="1" s="62"/>
    <row r="966" ht="14.25" customHeight="1" s="62"/>
    <row r="967" ht="14.25" customHeight="1" s="62"/>
    <row r="968" ht="14.25" customHeight="1" s="62"/>
    <row r="969" ht="14.25" customHeight="1" s="62"/>
    <row r="970" ht="14.25" customHeight="1" s="62"/>
    <row r="971" ht="14.25" customHeight="1" s="62"/>
    <row r="972" ht="14.25" customHeight="1" s="62"/>
    <row r="973" ht="14.25" customHeight="1" s="62"/>
    <row r="974" ht="14.25" customHeight="1" s="62"/>
    <row r="975" ht="14.25" customHeight="1" s="62"/>
    <row r="976" ht="14.25" customHeight="1" s="62"/>
    <row r="977" ht="14.25" customHeight="1" s="62"/>
    <row r="978" ht="14.25" customHeight="1" s="62"/>
    <row r="979" ht="14.25" customHeight="1" s="62"/>
    <row r="980" ht="14.25" customHeight="1" s="62"/>
    <row r="981" ht="14.25" customHeight="1" s="62"/>
    <row r="982" ht="14.25" customHeight="1" s="62"/>
    <row r="983" ht="14.25" customHeight="1" s="62"/>
    <row r="984" ht="14.25" customHeight="1" s="62"/>
    <row r="985" ht="14.25" customHeight="1" s="62"/>
    <row r="986" ht="14.25" customHeight="1" s="62"/>
    <row r="987" ht="14.25" customHeight="1" s="62"/>
    <row r="988" ht="14.25" customHeight="1" s="62"/>
    <row r="989" ht="14.25" customHeight="1" s="62"/>
    <row r="990" ht="14.25" customHeight="1" s="62"/>
    <row r="991" ht="14.25" customHeight="1" s="62"/>
    <row r="992" ht="14.25" customHeight="1" s="62"/>
    <row r="993" ht="14.25" customHeight="1" s="62"/>
    <row r="994" ht="14.25" customHeight="1" s="62"/>
    <row r="995" ht="14.25" customHeight="1" s="62"/>
    <row r="996" ht="14.25" customHeight="1" s="62"/>
    <row r="997" ht="14.25" customHeight="1" s="62"/>
    <row r="998" ht="14.25" customHeight="1" s="62"/>
    <row r="999" ht="14.25" customHeight="1" s="62"/>
    <row r="1000" ht="14.25" customHeight="1" s="6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Lisandro Raffioni</dc:creator>
  <dcterms:created xsi:type="dcterms:W3CDTF">2025-09-02T13:43:41Z</dcterms:created>
  <dcterms:modified xsi:type="dcterms:W3CDTF">2026-06-12T13:31:07Z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0x010100334CE5714B8A0C46B01095E4DE1C3C12</vt:lpwstr>
  </property>
</Properties>
</file>